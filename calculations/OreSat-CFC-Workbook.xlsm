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resat-thermal\calculations\"/>
    </mc:Choice>
  </mc:AlternateContent>
  <xr:revisionPtr revIDLastSave="0" documentId="13_ncr:1_{4152B26C-49F6-4072-B3F8-1D446989A733}" xr6:coauthVersionLast="47" xr6:coauthVersionMax="47" xr10:uidLastSave="{00000000-0000-0000-0000-000000000000}"/>
  <bookViews>
    <workbookView xWindow="-120" yWindow="-120" windowWidth="29040" windowHeight="15840" firstSheet="1" activeTab="3" xr2:uid="{AE2C8D3C-2AC9-4394-8938-0DE548FC92D9}"/>
  </bookViews>
  <sheets>
    <sheet name="Sheet1" sheetId="1" r:id="rId1"/>
    <sheet name="Radiator Size Study" sheetId="5" r:id="rId2"/>
    <sheet name="Hume TEC Data" sheetId="8" r:id="rId3"/>
    <sheet name="TEC Orb Ave Sim" sheetId="7" r:id="rId4"/>
    <sheet name="Incident Angle Study" sheetId="6" r:id="rId5"/>
  </sheets>
  <functionGroups builtInGroupCount="19"/>
  <externalReferences>
    <externalReference r:id="rId6"/>
  </externalReferences>
  <definedNames>
    <definedName name="A_1U">'Radiator Size Study'!$B$21</definedName>
    <definedName name="A_2U">'Radiator Size Study'!$B$22</definedName>
    <definedName name="A_3U">'Radiator Size Study'!$B$23</definedName>
    <definedName name="absorp">'Radiator Size Study'!$B$29</definedName>
    <definedName name="albedo">'Radiator Size Study'!$B$27</definedName>
    <definedName name="emiss_out">'Radiator Size Study'!$B$20</definedName>
    <definedName name="F_earth">'Radiator Size Study'!$B$25</definedName>
    <definedName name="F_space">'Radiator Size Study'!$B$26</definedName>
    <definedName name="q_D">'Radiator Size Study'!$B$16</definedName>
    <definedName name="R_bus">'Radiator Size Study'!$B$13</definedName>
    <definedName name="R_earth_1U">'Radiator Size Study'!$B$33</definedName>
    <definedName name="R_earth_2U">'Radiator Size Study'!$C$33</definedName>
    <definedName name="R_earth_3U">'Radiator Size Study'!$D$33</definedName>
    <definedName name="R_SO">'Radiator Size Study'!$B$14</definedName>
    <definedName name="R_space_1U">'Radiator Size Study'!$B$34</definedName>
    <definedName name="R_space_2U">'Radiator Size Study'!$C$34</definedName>
    <definedName name="R_space_3U">'Radiator Size Study'!$D$34</definedName>
    <definedName name="R_surf_1U">'Radiator Size Study'!$B$32</definedName>
    <definedName name="R_surf_2U">'Radiator Size Study'!$C$32</definedName>
    <definedName name="R_surf_3U">'Radiator Size Study'!$D$32</definedName>
    <definedName name="sigma">'Radiator Size Study'!$B$17</definedName>
    <definedName name="solar">'Radiator Size Study'!$B$28</definedName>
    <definedName name="T_B">'Radiator Size Study'!$B$15</definedName>
    <definedName name="T_earth">'Radiator Size Study'!$B$18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7" i="5" l="1"/>
  <c r="B22" i="7"/>
  <c r="B8" i="7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10" i="8"/>
  <c r="C7" i="7"/>
  <c r="A92" i="8" l="1"/>
  <c r="A90" i="8"/>
  <c r="A91" i="8" s="1"/>
  <c r="A89" i="8"/>
  <c r="A63" i="8"/>
  <c r="AF56" i="8"/>
  <c r="AE56" i="8"/>
  <c r="AD56" i="8"/>
  <c r="AC56" i="8"/>
  <c r="AB56" i="8"/>
  <c r="AA56" i="8"/>
  <c r="Z56" i="8"/>
  <c r="Y56" i="8"/>
  <c r="X56" i="8"/>
  <c r="W56" i="8"/>
  <c r="AF55" i="8"/>
  <c r="AE55" i="8"/>
  <c r="AD55" i="8"/>
  <c r="AC55" i="8"/>
  <c r="AB55" i="8"/>
  <c r="AA55" i="8"/>
  <c r="Z55" i="8"/>
  <c r="Y55" i="8"/>
  <c r="X55" i="8"/>
  <c r="W55" i="8"/>
  <c r="AF54" i="8"/>
  <c r="AE54" i="8"/>
  <c r="AD54" i="8"/>
  <c r="AC54" i="8"/>
  <c r="AB54" i="8"/>
  <c r="AA54" i="8"/>
  <c r="Z54" i="8"/>
  <c r="Y54" i="8"/>
  <c r="X54" i="8"/>
  <c r="W54" i="8"/>
  <c r="AF53" i="8"/>
  <c r="AE53" i="8"/>
  <c r="AD53" i="8"/>
  <c r="AC53" i="8"/>
  <c r="AB53" i="8"/>
  <c r="AA53" i="8"/>
  <c r="Z53" i="8"/>
  <c r="Y53" i="8"/>
  <c r="X53" i="8"/>
  <c r="W53" i="8"/>
  <c r="AF52" i="8"/>
  <c r="AE52" i="8"/>
  <c r="AD52" i="8"/>
  <c r="AC52" i="8"/>
  <c r="AB52" i="8"/>
  <c r="AA52" i="8"/>
  <c r="Z52" i="8"/>
  <c r="Y52" i="8"/>
  <c r="X52" i="8"/>
  <c r="W52" i="8"/>
  <c r="AF51" i="8"/>
  <c r="AE51" i="8"/>
  <c r="AD51" i="8"/>
  <c r="AC51" i="8"/>
  <c r="AB51" i="8"/>
  <c r="AA51" i="8"/>
  <c r="Z51" i="8"/>
  <c r="Y51" i="8"/>
  <c r="X51" i="8"/>
  <c r="W51" i="8"/>
  <c r="AF50" i="8"/>
  <c r="AE50" i="8"/>
  <c r="AD50" i="8"/>
  <c r="AC50" i="8"/>
  <c r="AB50" i="8"/>
  <c r="AA50" i="8"/>
  <c r="Z50" i="8"/>
  <c r="Y50" i="8"/>
  <c r="X50" i="8"/>
  <c r="W50" i="8"/>
  <c r="AF49" i="8"/>
  <c r="AE49" i="8"/>
  <c r="AD49" i="8"/>
  <c r="AC49" i="8"/>
  <c r="AB49" i="8"/>
  <c r="AA49" i="8"/>
  <c r="Z49" i="8"/>
  <c r="Y49" i="8"/>
  <c r="X49" i="8"/>
  <c r="W49" i="8"/>
  <c r="AF48" i="8"/>
  <c r="AE48" i="8"/>
  <c r="AD48" i="8"/>
  <c r="AC48" i="8"/>
  <c r="AB48" i="8"/>
  <c r="AA48" i="8"/>
  <c r="Z48" i="8"/>
  <c r="Y48" i="8"/>
  <c r="X48" i="8"/>
  <c r="W48" i="8"/>
  <c r="AF47" i="8"/>
  <c r="AE47" i="8"/>
  <c r="AD47" i="8"/>
  <c r="AC47" i="8"/>
  <c r="AB47" i="8"/>
  <c r="AA47" i="8"/>
  <c r="Z47" i="8"/>
  <c r="Y47" i="8"/>
  <c r="X47" i="8"/>
  <c r="W47" i="8"/>
  <c r="AF46" i="8"/>
  <c r="AE46" i="8"/>
  <c r="AD46" i="8"/>
  <c r="AC46" i="8"/>
  <c r="AB46" i="8"/>
  <c r="AA46" i="8"/>
  <c r="Z46" i="8"/>
  <c r="Y46" i="8"/>
  <c r="X46" i="8"/>
  <c r="W46" i="8"/>
  <c r="AF45" i="8"/>
  <c r="AE45" i="8"/>
  <c r="AD45" i="8"/>
  <c r="AC45" i="8"/>
  <c r="AB45" i="8"/>
  <c r="AA45" i="8"/>
  <c r="Z45" i="8"/>
  <c r="Y45" i="8"/>
  <c r="X45" i="8"/>
  <c r="W45" i="8"/>
  <c r="AF44" i="8"/>
  <c r="AE44" i="8"/>
  <c r="AD44" i="8"/>
  <c r="AC44" i="8"/>
  <c r="AB44" i="8"/>
  <c r="AA44" i="8"/>
  <c r="Z44" i="8"/>
  <c r="Y44" i="8"/>
  <c r="X44" i="8"/>
  <c r="W44" i="8"/>
  <c r="AF43" i="8"/>
  <c r="AE43" i="8"/>
  <c r="AD43" i="8"/>
  <c r="AC43" i="8"/>
  <c r="AB43" i="8"/>
  <c r="AA43" i="8"/>
  <c r="Z43" i="8"/>
  <c r="Y43" i="8"/>
  <c r="X43" i="8"/>
  <c r="W43" i="8"/>
  <c r="AF42" i="8"/>
  <c r="AE42" i="8"/>
  <c r="AD42" i="8"/>
  <c r="AC42" i="8"/>
  <c r="AB42" i="8"/>
  <c r="AA42" i="8"/>
  <c r="Z42" i="8"/>
  <c r="Y42" i="8"/>
  <c r="X42" i="8"/>
  <c r="W42" i="8"/>
  <c r="AF41" i="8"/>
  <c r="AE41" i="8"/>
  <c r="AD41" i="8"/>
  <c r="AC41" i="8"/>
  <c r="AB41" i="8"/>
  <c r="AA41" i="8"/>
  <c r="Z41" i="8"/>
  <c r="Y41" i="8"/>
  <c r="X41" i="8"/>
  <c r="W41" i="8"/>
  <c r="U41" i="8"/>
  <c r="AF40" i="8"/>
  <c r="AE40" i="8"/>
  <c r="AD40" i="8"/>
  <c r="AC40" i="8"/>
  <c r="AB40" i="8"/>
  <c r="AA40" i="8"/>
  <c r="Z40" i="8"/>
  <c r="Y40" i="8"/>
  <c r="X40" i="8"/>
  <c r="W40" i="8"/>
  <c r="AF39" i="8"/>
  <c r="AE39" i="8"/>
  <c r="AD39" i="8"/>
  <c r="AC39" i="8"/>
  <c r="AB39" i="8"/>
  <c r="AA39" i="8"/>
  <c r="Z39" i="8"/>
  <c r="Y39" i="8"/>
  <c r="X39" i="8"/>
  <c r="W39" i="8"/>
  <c r="V39" i="8"/>
  <c r="U62" i="8" s="1"/>
  <c r="AF38" i="8"/>
  <c r="AE38" i="8"/>
  <c r="AD38" i="8"/>
  <c r="AC38" i="8"/>
  <c r="AB38" i="8"/>
  <c r="AA38" i="8"/>
  <c r="Z38" i="8"/>
  <c r="Y38" i="8"/>
  <c r="X38" i="8"/>
  <c r="W38" i="8"/>
  <c r="AF37" i="8"/>
  <c r="AE37" i="8"/>
  <c r="AD37" i="8"/>
  <c r="AC37" i="8"/>
  <c r="AB37" i="8"/>
  <c r="AA37" i="8"/>
  <c r="Z37" i="8"/>
  <c r="Y37" i="8"/>
  <c r="X37" i="8"/>
  <c r="W37" i="8"/>
  <c r="V37" i="8"/>
  <c r="U60" i="8" s="1"/>
  <c r="U37" i="8"/>
  <c r="U38" i="8" s="1"/>
  <c r="U39" i="8" s="1"/>
  <c r="U40" i="8" s="1"/>
  <c r="V40" i="8" s="1"/>
  <c r="U63" i="8" s="1"/>
  <c r="AF36" i="8"/>
  <c r="AE36" i="8"/>
  <c r="AD36" i="8"/>
  <c r="AC36" i="8"/>
  <c r="AB36" i="8"/>
  <c r="AA36" i="8"/>
  <c r="Z36" i="8"/>
  <c r="Y36" i="8"/>
  <c r="X36" i="8"/>
  <c r="W36" i="8"/>
  <c r="V36" i="8"/>
  <c r="U59" i="8" s="1"/>
  <c r="N18" i="8"/>
  <c r="U14" i="8"/>
  <c r="U15" i="8" s="1"/>
  <c r="B14" i="8"/>
  <c r="B13" i="8"/>
  <c r="A19" i="8" s="1"/>
  <c r="B12" i="8"/>
  <c r="B11" i="8"/>
  <c r="K28" i="8" s="1"/>
  <c r="Z10" i="8"/>
  <c r="V10" i="8"/>
  <c r="V13" i="8" s="1"/>
  <c r="D7" i="7"/>
  <c r="G37" i="6"/>
  <c r="G36" i="6"/>
  <c r="Q36" i="6" s="1"/>
  <c r="G35" i="6"/>
  <c r="G34" i="6"/>
  <c r="Q34" i="6" s="1"/>
  <c r="G33" i="6"/>
  <c r="G32" i="6"/>
  <c r="Q32" i="6" s="1"/>
  <c r="G31" i="6"/>
  <c r="G30" i="6"/>
  <c r="Q30" i="6" s="1"/>
  <c r="G29" i="6"/>
  <c r="G28" i="6"/>
  <c r="Q28" i="6" s="1"/>
  <c r="G27" i="6"/>
  <c r="G26" i="6"/>
  <c r="Q26" i="6" s="1"/>
  <c r="G25" i="6"/>
  <c r="G24" i="6"/>
  <c r="H24" i="6" s="1"/>
  <c r="G23" i="6"/>
  <c r="G22" i="6"/>
  <c r="G21" i="6"/>
  <c r="G20" i="6"/>
  <c r="H20" i="6" s="1"/>
  <c r="G19" i="6"/>
  <c r="G18" i="6"/>
  <c r="G17" i="6"/>
  <c r="G16" i="6"/>
  <c r="H16" i="6" s="1"/>
  <c r="G15" i="6"/>
  <c r="G14" i="6"/>
  <c r="G13" i="6"/>
  <c r="G12" i="6"/>
  <c r="H12" i="6" s="1"/>
  <c r="G11" i="6"/>
  <c r="G10" i="6"/>
  <c r="G9" i="6"/>
  <c r="G8" i="6"/>
  <c r="H8" i="6" s="1"/>
  <c r="G7" i="6"/>
  <c r="G6" i="6"/>
  <c r="G5" i="6"/>
  <c r="B5" i="6"/>
  <c r="C5" i="6" s="1"/>
  <c r="B6" i="6"/>
  <c r="C6" i="6" s="1"/>
  <c r="B7" i="6"/>
  <c r="C7" i="6" s="1"/>
  <c r="B8" i="6"/>
  <c r="C8" i="6" s="1"/>
  <c r="B9" i="6"/>
  <c r="C9" i="6" s="1"/>
  <c r="B10" i="6"/>
  <c r="C10" i="6" s="1"/>
  <c r="B11" i="6"/>
  <c r="C11" i="6" s="1"/>
  <c r="B12" i="6"/>
  <c r="C12" i="6" s="1"/>
  <c r="B13" i="6"/>
  <c r="C13" i="6" s="1"/>
  <c r="B4" i="6"/>
  <c r="C4" i="6" s="1"/>
  <c r="B13" i="5"/>
  <c r="H15" i="5"/>
  <c r="K15" i="5" s="1"/>
  <c r="H16" i="5"/>
  <c r="J16" i="5" s="1"/>
  <c r="H18" i="5"/>
  <c r="K18" i="5" s="1"/>
  <c r="H20" i="5"/>
  <c r="J20" i="5" s="1"/>
  <c r="H22" i="5"/>
  <c r="K22" i="5" s="1"/>
  <c r="H24" i="5"/>
  <c r="J24" i="5" s="1"/>
  <c r="H26" i="5"/>
  <c r="J26" i="5" s="1"/>
  <c r="H28" i="5"/>
  <c r="J28" i="5" s="1"/>
  <c r="H30" i="5"/>
  <c r="J30" i="5" s="1"/>
  <c r="H32" i="5"/>
  <c r="J32" i="5" s="1"/>
  <c r="H34" i="5"/>
  <c r="J34" i="5" s="1"/>
  <c r="H36" i="5"/>
  <c r="J36" i="5" s="1"/>
  <c r="H38" i="5"/>
  <c r="J38" i="5" s="1"/>
  <c r="H40" i="5"/>
  <c r="J40" i="5" s="1"/>
  <c r="H42" i="5"/>
  <c r="J42" i="5" s="1"/>
  <c r="H44" i="5"/>
  <c r="J44" i="5" s="1"/>
  <c r="H46" i="5"/>
  <c r="J46" i="5" s="1"/>
  <c r="D34" i="5"/>
  <c r="C34" i="5"/>
  <c r="B34" i="5"/>
  <c r="D33" i="5"/>
  <c r="C33" i="5"/>
  <c r="B33" i="5"/>
  <c r="B26" i="5"/>
  <c r="C32" i="5"/>
  <c r="B21" i="5"/>
  <c r="B32" i="5" s="1"/>
  <c r="B14" i="5"/>
  <c r="B36" i="8" l="1"/>
  <c r="B32" i="8"/>
  <c r="B28" i="8"/>
  <c r="B24" i="8"/>
  <c r="B20" i="8"/>
  <c r="J38" i="8"/>
  <c r="F38" i="8"/>
  <c r="L37" i="8"/>
  <c r="H37" i="8"/>
  <c r="D37" i="8"/>
  <c r="J36" i="8"/>
  <c r="F36" i="8"/>
  <c r="L35" i="8"/>
  <c r="H35" i="8"/>
  <c r="D35" i="8"/>
  <c r="J34" i="8"/>
  <c r="F34" i="8"/>
  <c r="L33" i="8"/>
  <c r="E33" i="8"/>
  <c r="G32" i="8"/>
  <c r="I31" i="8"/>
  <c r="K30" i="8"/>
  <c r="C30" i="8"/>
  <c r="E29" i="8"/>
  <c r="E2" i="8"/>
  <c r="B38" i="8"/>
  <c r="B34" i="8"/>
  <c r="B30" i="8"/>
  <c r="B26" i="8"/>
  <c r="B22" i="8"/>
  <c r="L38" i="8"/>
  <c r="H38" i="8"/>
  <c r="D38" i="8"/>
  <c r="J37" i="8"/>
  <c r="F37" i="8"/>
  <c r="L36" i="8"/>
  <c r="H36" i="8"/>
  <c r="D36" i="8"/>
  <c r="J35" i="8"/>
  <c r="F35" i="8"/>
  <c r="L34" i="8"/>
  <c r="H34" i="8"/>
  <c r="D34" i="8"/>
  <c r="I33" i="8"/>
  <c r="K32" i="8"/>
  <c r="C32" i="8"/>
  <c r="E31" i="8"/>
  <c r="G30" i="8"/>
  <c r="I29" i="8"/>
  <c r="D17" i="8"/>
  <c r="D87" i="8" s="1"/>
  <c r="F17" i="8"/>
  <c r="F87" i="8" s="1"/>
  <c r="H17" i="8"/>
  <c r="H87" i="8" s="1"/>
  <c r="J17" i="8"/>
  <c r="J87" i="8" s="1"/>
  <c r="L17" i="8"/>
  <c r="C17" i="8"/>
  <c r="C87" i="8" s="1"/>
  <c r="E17" i="8"/>
  <c r="E87" i="8" s="1"/>
  <c r="G17" i="8"/>
  <c r="G87" i="8" s="1"/>
  <c r="I17" i="8"/>
  <c r="I87" i="8" s="1"/>
  <c r="K17" i="8"/>
  <c r="K87" i="8" s="1"/>
  <c r="B17" i="8"/>
  <c r="B87" i="8" s="1"/>
  <c r="C18" i="8"/>
  <c r="E18" i="8"/>
  <c r="G18" i="8"/>
  <c r="I18" i="8"/>
  <c r="K18" i="8"/>
  <c r="C19" i="8"/>
  <c r="E19" i="8"/>
  <c r="G19" i="8"/>
  <c r="I19" i="8"/>
  <c r="K19" i="8"/>
  <c r="C20" i="8"/>
  <c r="E20" i="8"/>
  <c r="G20" i="8"/>
  <c r="I20" i="8"/>
  <c r="K20" i="8"/>
  <c r="C21" i="8"/>
  <c r="E21" i="8"/>
  <c r="G21" i="8"/>
  <c r="I21" i="8"/>
  <c r="K21" i="8"/>
  <c r="C22" i="8"/>
  <c r="E22" i="8"/>
  <c r="G22" i="8"/>
  <c r="I22" i="8"/>
  <c r="K22" i="8"/>
  <c r="C23" i="8"/>
  <c r="E23" i="8"/>
  <c r="G23" i="8"/>
  <c r="I23" i="8"/>
  <c r="K23" i="8"/>
  <c r="C24" i="8"/>
  <c r="E24" i="8"/>
  <c r="G24" i="8"/>
  <c r="I24" i="8"/>
  <c r="K24" i="8"/>
  <c r="C25" i="8"/>
  <c r="E25" i="8"/>
  <c r="G25" i="8"/>
  <c r="I25" i="8"/>
  <c r="K25" i="8"/>
  <c r="C26" i="8"/>
  <c r="E26" i="8"/>
  <c r="G26" i="8"/>
  <c r="I26" i="8"/>
  <c r="K26" i="8"/>
  <c r="C27" i="8"/>
  <c r="E27" i="8"/>
  <c r="G27" i="8"/>
  <c r="I27" i="8"/>
  <c r="K27" i="8"/>
  <c r="C28" i="8"/>
  <c r="E28" i="8"/>
  <c r="G28" i="8"/>
  <c r="I28" i="8"/>
  <c r="D18" i="8"/>
  <c r="F18" i="8"/>
  <c r="H18" i="8"/>
  <c r="J18" i="8"/>
  <c r="L18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D24" i="8"/>
  <c r="F24" i="8"/>
  <c r="H24" i="8"/>
  <c r="J24" i="8"/>
  <c r="L24" i="8"/>
  <c r="D25" i="8"/>
  <c r="F25" i="8"/>
  <c r="H25" i="8"/>
  <c r="J25" i="8"/>
  <c r="L25" i="8"/>
  <c r="D26" i="8"/>
  <c r="F26" i="8"/>
  <c r="H26" i="8"/>
  <c r="J26" i="8"/>
  <c r="L26" i="8"/>
  <c r="D27" i="8"/>
  <c r="F27" i="8"/>
  <c r="H27" i="8"/>
  <c r="J27" i="8"/>
  <c r="L27" i="8"/>
  <c r="D28" i="8"/>
  <c r="F28" i="8"/>
  <c r="H28" i="8"/>
  <c r="J28" i="8"/>
  <c r="L28" i="8"/>
  <c r="D29" i="8"/>
  <c r="F29" i="8"/>
  <c r="H29" i="8"/>
  <c r="J29" i="8"/>
  <c r="L29" i="8"/>
  <c r="D30" i="8"/>
  <c r="F30" i="8"/>
  <c r="H30" i="8"/>
  <c r="J30" i="8"/>
  <c r="L30" i="8"/>
  <c r="D31" i="8"/>
  <c r="F31" i="8"/>
  <c r="H31" i="8"/>
  <c r="J31" i="8"/>
  <c r="L31" i="8"/>
  <c r="D32" i="8"/>
  <c r="F32" i="8"/>
  <c r="H32" i="8"/>
  <c r="J32" i="8"/>
  <c r="L32" i="8"/>
  <c r="D33" i="8"/>
  <c r="F33" i="8"/>
  <c r="H33" i="8"/>
  <c r="J33" i="8"/>
  <c r="B18" i="8"/>
  <c r="B37" i="8"/>
  <c r="B35" i="8"/>
  <c r="B33" i="8"/>
  <c r="B31" i="8"/>
  <c r="B29" i="8"/>
  <c r="B27" i="8"/>
  <c r="B25" i="8"/>
  <c r="B23" i="8"/>
  <c r="B21" i="8"/>
  <c r="B19" i="8"/>
  <c r="K38" i="8"/>
  <c r="I38" i="8"/>
  <c r="G38" i="8"/>
  <c r="E38" i="8"/>
  <c r="C38" i="8"/>
  <c r="K37" i="8"/>
  <c r="I37" i="8"/>
  <c r="G37" i="8"/>
  <c r="E37" i="8"/>
  <c r="C37" i="8"/>
  <c r="K36" i="8"/>
  <c r="I36" i="8"/>
  <c r="G36" i="8"/>
  <c r="E36" i="8"/>
  <c r="C36" i="8"/>
  <c r="K35" i="8"/>
  <c r="I35" i="8"/>
  <c r="G35" i="8"/>
  <c r="E35" i="8"/>
  <c r="C35" i="8"/>
  <c r="K34" i="8"/>
  <c r="I34" i="8"/>
  <c r="G34" i="8"/>
  <c r="E34" i="8"/>
  <c r="C34" i="8"/>
  <c r="K33" i="8"/>
  <c r="G33" i="8"/>
  <c r="C33" i="8"/>
  <c r="I32" i="8"/>
  <c r="E32" i="8"/>
  <c r="K31" i="8"/>
  <c r="G31" i="8"/>
  <c r="C31" i="8"/>
  <c r="I30" i="8"/>
  <c r="E30" i="8"/>
  <c r="K29" i="8"/>
  <c r="G29" i="8"/>
  <c r="C29" i="8"/>
  <c r="K40" i="5"/>
  <c r="K24" i="5"/>
  <c r="H32" i="6"/>
  <c r="M36" i="6"/>
  <c r="M32" i="6"/>
  <c r="M28" i="6"/>
  <c r="K32" i="5"/>
  <c r="K16" i="5"/>
  <c r="M34" i="6"/>
  <c r="M30" i="6"/>
  <c r="M26" i="6"/>
  <c r="K44" i="5"/>
  <c r="K36" i="5"/>
  <c r="K28" i="5"/>
  <c r="K20" i="5"/>
  <c r="H36" i="6"/>
  <c r="H28" i="6"/>
  <c r="J5" i="6"/>
  <c r="L5" i="6"/>
  <c r="N5" i="6"/>
  <c r="P5" i="6"/>
  <c r="K5" i="6"/>
  <c r="M5" i="6"/>
  <c r="O5" i="6"/>
  <c r="Q5" i="6"/>
  <c r="I5" i="6"/>
  <c r="J7" i="6"/>
  <c r="L7" i="6"/>
  <c r="N7" i="6"/>
  <c r="P7" i="6"/>
  <c r="K7" i="6"/>
  <c r="M7" i="6"/>
  <c r="O7" i="6"/>
  <c r="Q7" i="6"/>
  <c r="H7" i="6"/>
  <c r="J9" i="6"/>
  <c r="L9" i="6"/>
  <c r="N9" i="6"/>
  <c r="P9" i="6"/>
  <c r="K9" i="6"/>
  <c r="M9" i="6"/>
  <c r="O9" i="6"/>
  <c r="Q9" i="6"/>
  <c r="H9" i="6"/>
  <c r="J11" i="6"/>
  <c r="L11" i="6"/>
  <c r="N11" i="6"/>
  <c r="P11" i="6"/>
  <c r="K11" i="6"/>
  <c r="M11" i="6"/>
  <c r="O11" i="6"/>
  <c r="Q11" i="6"/>
  <c r="H11" i="6"/>
  <c r="J13" i="6"/>
  <c r="L13" i="6"/>
  <c r="N13" i="6"/>
  <c r="P13" i="6"/>
  <c r="K13" i="6"/>
  <c r="M13" i="6"/>
  <c r="O13" i="6"/>
  <c r="Q13" i="6"/>
  <c r="H13" i="6"/>
  <c r="J15" i="6"/>
  <c r="L15" i="6"/>
  <c r="N15" i="6"/>
  <c r="P15" i="6"/>
  <c r="K15" i="6"/>
  <c r="M15" i="6"/>
  <c r="O15" i="6"/>
  <c r="Q15" i="6"/>
  <c r="H15" i="6"/>
  <c r="J17" i="6"/>
  <c r="L17" i="6"/>
  <c r="N17" i="6"/>
  <c r="P17" i="6"/>
  <c r="K17" i="6"/>
  <c r="M17" i="6"/>
  <c r="O17" i="6"/>
  <c r="Q17" i="6"/>
  <c r="H17" i="6"/>
  <c r="J19" i="6"/>
  <c r="L19" i="6"/>
  <c r="N19" i="6"/>
  <c r="P19" i="6"/>
  <c r="K19" i="6"/>
  <c r="M19" i="6"/>
  <c r="O19" i="6"/>
  <c r="Q19" i="6"/>
  <c r="H19" i="6"/>
  <c r="J21" i="6"/>
  <c r="L21" i="6"/>
  <c r="N21" i="6"/>
  <c r="P21" i="6"/>
  <c r="K21" i="6"/>
  <c r="M21" i="6"/>
  <c r="O21" i="6"/>
  <c r="Q21" i="6"/>
  <c r="H21" i="6"/>
  <c r="J23" i="6"/>
  <c r="L23" i="6"/>
  <c r="N23" i="6"/>
  <c r="P23" i="6"/>
  <c r="K23" i="6"/>
  <c r="M23" i="6"/>
  <c r="O23" i="6"/>
  <c r="Q23" i="6"/>
  <c r="H23" i="6"/>
  <c r="J25" i="6"/>
  <c r="L25" i="6"/>
  <c r="N25" i="6"/>
  <c r="P25" i="6"/>
  <c r="K25" i="6"/>
  <c r="M25" i="6"/>
  <c r="O25" i="6"/>
  <c r="Q25" i="6"/>
  <c r="H25" i="6"/>
  <c r="J27" i="6"/>
  <c r="L27" i="6"/>
  <c r="N27" i="6"/>
  <c r="P27" i="6"/>
  <c r="H27" i="6"/>
  <c r="J29" i="6"/>
  <c r="L29" i="6"/>
  <c r="N29" i="6"/>
  <c r="P29" i="6"/>
  <c r="H29" i="6"/>
  <c r="J31" i="6"/>
  <c r="L31" i="6"/>
  <c r="N31" i="6"/>
  <c r="P31" i="6"/>
  <c r="H31" i="6"/>
  <c r="J33" i="6"/>
  <c r="L33" i="6"/>
  <c r="N33" i="6"/>
  <c r="P33" i="6"/>
  <c r="H33" i="6"/>
  <c r="J35" i="6"/>
  <c r="L35" i="6"/>
  <c r="N35" i="6"/>
  <c r="P35" i="6"/>
  <c r="H35" i="6"/>
  <c r="J37" i="6"/>
  <c r="L37" i="6"/>
  <c r="N37" i="6"/>
  <c r="P37" i="6"/>
  <c r="H37" i="6"/>
  <c r="I15" i="5"/>
  <c r="J15" i="5"/>
  <c r="K46" i="5"/>
  <c r="K42" i="5"/>
  <c r="K38" i="5"/>
  <c r="K34" i="5"/>
  <c r="K30" i="5"/>
  <c r="K26" i="5"/>
  <c r="I37" i="6"/>
  <c r="I33" i="6"/>
  <c r="I29" i="6"/>
  <c r="I25" i="6"/>
  <c r="I21" i="6"/>
  <c r="I17" i="6"/>
  <c r="I13" i="6"/>
  <c r="I9" i="6"/>
  <c r="Q37" i="6"/>
  <c r="M37" i="6"/>
  <c r="Q35" i="6"/>
  <c r="M35" i="6"/>
  <c r="Q33" i="6"/>
  <c r="M33" i="6"/>
  <c r="Q31" i="6"/>
  <c r="M31" i="6"/>
  <c r="Q29" i="6"/>
  <c r="M29" i="6"/>
  <c r="Q27" i="6"/>
  <c r="M27" i="6"/>
  <c r="J6" i="6"/>
  <c r="L6" i="6"/>
  <c r="N6" i="6"/>
  <c r="P6" i="6"/>
  <c r="K6" i="6"/>
  <c r="M6" i="6"/>
  <c r="O6" i="6"/>
  <c r="Q6" i="6"/>
  <c r="I6" i="6"/>
  <c r="J8" i="6"/>
  <c r="L8" i="6"/>
  <c r="N8" i="6"/>
  <c r="P8" i="6"/>
  <c r="K8" i="6"/>
  <c r="M8" i="6"/>
  <c r="O8" i="6"/>
  <c r="Q8" i="6"/>
  <c r="I8" i="6"/>
  <c r="J10" i="6"/>
  <c r="L10" i="6"/>
  <c r="N10" i="6"/>
  <c r="P10" i="6"/>
  <c r="K10" i="6"/>
  <c r="M10" i="6"/>
  <c r="O10" i="6"/>
  <c r="Q10" i="6"/>
  <c r="I10" i="6"/>
  <c r="J12" i="6"/>
  <c r="L12" i="6"/>
  <c r="N12" i="6"/>
  <c r="P12" i="6"/>
  <c r="K12" i="6"/>
  <c r="M12" i="6"/>
  <c r="O12" i="6"/>
  <c r="Q12" i="6"/>
  <c r="I12" i="6"/>
  <c r="J14" i="6"/>
  <c r="L14" i="6"/>
  <c r="N14" i="6"/>
  <c r="P14" i="6"/>
  <c r="K14" i="6"/>
  <c r="M14" i="6"/>
  <c r="O14" i="6"/>
  <c r="Q14" i="6"/>
  <c r="I14" i="6"/>
  <c r="J16" i="6"/>
  <c r="L16" i="6"/>
  <c r="N16" i="6"/>
  <c r="P16" i="6"/>
  <c r="K16" i="6"/>
  <c r="M16" i="6"/>
  <c r="O16" i="6"/>
  <c r="Q16" i="6"/>
  <c r="I16" i="6"/>
  <c r="J18" i="6"/>
  <c r="L18" i="6"/>
  <c r="N18" i="6"/>
  <c r="P18" i="6"/>
  <c r="K18" i="6"/>
  <c r="M18" i="6"/>
  <c r="O18" i="6"/>
  <c r="Q18" i="6"/>
  <c r="I18" i="6"/>
  <c r="J20" i="6"/>
  <c r="L20" i="6"/>
  <c r="N20" i="6"/>
  <c r="D10" i="6" s="1" a="1"/>
  <c r="D10" i="6" s="1"/>
  <c r="P20" i="6"/>
  <c r="D12" i="6" s="1" a="1"/>
  <c r="D12" i="6" s="1"/>
  <c r="K20" i="6"/>
  <c r="M20" i="6"/>
  <c r="O20" i="6"/>
  <c r="D11" i="6" s="1" a="1"/>
  <c r="D11" i="6" s="1"/>
  <c r="Q20" i="6"/>
  <c r="D13" i="6" s="1" a="1"/>
  <c r="D13" i="6" s="1"/>
  <c r="I20" i="6"/>
  <c r="J22" i="6"/>
  <c r="L22" i="6"/>
  <c r="N22" i="6"/>
  <c r="P22" i="6"/>
  <c r="K22" i="6"/>
  <c r="M22" i="6"/>
  <c r="O22" i="6"/>
  <c r="Q22" i="6"/>
  <c r="I22" i="6"/>
  <c r="J24" i="6"/>
  <c r="L24" i="6"/>
  <c r="N24" i="6"/>
  <c r="P24" i="6"/>
  <c r="K24" i="6"/>
  <c r="M24" i="6"/>
  <c r="O24" i="6"/>
  <c r="Q24" i="6"/>
  <c r="I24" i="6"/>
  <c r="J26" i="6"/>
  <c r="K26" i="6"/>
  <c r="L26" i="6"/>
  <c r="N26" i="6"/>
  <c r="P26" i="6"/>
  <c r="I26" i="6"/>
  <c r="J28" i="6"/>
  <c r="L28" i="6"/>
  <c r="N28" i="6"/>
  <c r="P28" i="6"/>
  <c r="I28" i="6"/>
  <c r="J30" i="6"/>
  <c r="L30" i="6"/>
  <c r="N30" i="6"/>
  <c r="P30" i="6"/>
  <c r="I30" i="6"/>
  <c r="J32" i="6"/>
  <c r="L32" i="6"/>
  <c r="N32" i="6"/>
  <c r="P32" i="6"/>
  <c r="I32" i="6"/>
  <c r="J34" i="6"/>
  <c r="L34" i="6"/>
  <c r="N34" i="6"/>
  <c r="P34" i="6"/>
  <c r="I34" i="6"/>
  <c r="J36" i="6"/>
  <c r="L36" i="6"/>
  <c r="N36" i="6"/>
  <c r="P36" i="6"/>
  <c r="I36" i="6"/>
  <c r="I46" i="5"/>
  <c r="I44" i="5"/>
  <c r="I42" i="5"/>
  <c r="I40" i="5"/>
  <c r="I38" i="5"/>
  <c r="I36" i="5"/>
  <c r="I34" i="5"/>
  <c r="I32" i="5"/>
  <c r="I30" i="5"/>
  <c r="I28" i="5"/>
  <c r="I26" i="5"/>
  <c r="I24" i="5"/>
  <c r="I22" i="5"/>
  <c r="I20" i="5"/>
  <c r="I18" i="5"/>
  <c r="I16" i="5"/>
  <c r="J22" i="5"/>
  <c r="J18" i="5"/>
  <c r="H5" i="6"/>
  <c r="H34" i="6"/>
  <c r="H30" i="6"/>
  <c r="H26" i="6"/>
  <c r="H22" i="6"/>
  <c r="H18" i="6"/>
  <c r="H14" i="6"/>
  <c r="H10" i="6"/>
  <c r="H6" i="6"/>
  <c r="I35" i="6"/>
  <c r="I31" i="6"/>
  <c r="I27" i="6"/>
  <c r="I23" i="6"/>
  <c r="I19" i="6"/>
  <c r="D5" i="6" s="1" a="1"/>
  <c r="D5" i="6" s="1"/>
  <c r="I15" i="6"/>
  <c r="I11" i="6"/>
  <c r="I7" i="6"/>
  <c r="O37" i="6"/>
  <c r="K37" i="6"/>
  <c r="O36" i="6"/>
  <c r="K36" i="6"/>
  <c r="O35" i="6"/>
  <c r="K35" i="6"/>
  <c r="O34" i="6"/>
  <c r="K34" i="6"/>
  <c r="O33" i="6"/>
  <c r="K33" i="6"/>
  <c r="O32" i="6"/>
  <c r="K32" i="6"/>
  <c r="O31" i="6"/>
  <c r="K31" i="6"/>
  <c r="O30" i="6"/>
  <c r="K30" i="6"/>
  <c r="O29" i="6"/>
  <c r="K29" i="6"/>
  <c r="O28" i="6"/>
  <c r="K28" i="6"/>
  <c r="O27" i="6"/>
  <c r="K27" i="6"/>
  <c r="O26" i="6"/>
  <c r="A64" i="8"/>
  <c r="N19" i="8"/>
  <c r="A20" i="8"/>
  <c r="U16" i="8"/>
  <c r="V15" i="8"/>
  <c r="B83" i="8"/>
  <c r="C82" i="8"/>
  <c r="B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83" i="8"/>
  <c r="B80" i="8"/>
  <c r="B78" i="8"/>
  <c r="B76" i="8"/>
  <c r="B74" i="8"/>
  <c r="D74" i="8" s="1"/>
  <c r="B72" i="8"/>
  <c r="B70" i="8"/>
  <c r="B68" i="8"/>
  <c r="C66" i="8"/>
  <c r="C65" i="8"/>
  <c r="C64" i="8"/>
  <c r="C63" i="8"/>
  <c r="V14" i="8"/>
  <c r="Q18" i="8"/>
  <c r="O18" i="8"/>
  <c r="U42" i="8"/>
  <c r="V41" i="8"/>
  <c r="U64" i="8" s="1"/>
  <c r="B63" i="8"/>
  <c r="B65" i="8"/>
  <c r="B67" i="8"/>
  <c r="D67" i="8" s="1"/>
  <c r="B71" i="8"/>
  <c r="B75" i="8"/>
  <c r="B79" i="8"/>
  <c r="B82" i="8"/>
  <c r="A93" i="8"/>
  <c r="D10" i="8"/>
  <c r="P18" i="8"/>
  <c r="V38" i="8"/>
  <c r="U61" i="8" s="1"/>
  <c r="B64" i="8"/>
  <c r="B66" i="8"/>
  <c r="B69" i="8"/>
  <c r="B73" i="8"/>
  <c r="B77" i="8"/>
  <c r="C81" i="8"/>
  <c r="H14" i="5"/>
  <c r="H45" i="5"/>
  <c r="H43" i="5"/>
  <c r="H41" i="5"/>
  <c r="H39" i="5"/>
  <c r="H37" i="5"/>
  <c r="H35" i="5"/>
  <c r="H33" i="5"/>
  <c r="H31" i="5"/>
  <c r="H29" i="5"/>
  <c r="H27" i="5"/>
  <c r="H25" i="5"/>
  <c r="H23" i="5"/>
  <c r="H21" i="5"/>
  <c r="H19" i="5"/>
  <c r="H17" i="5"/>
  <c r="B23" i="5"/>
  <c r="D32" i="5" s="1"/>
  <c r="E7" i="7" a="1"/>
  <c r="D70" i="8" l="1"/>
  <c r="D78" i="8"/>
  <c r="D75" i="8"/>
  <c r="D63" i="8"/>
  <c r="E63" i="8" s="1"/>
  <c r="E7" i="7"/>
  <c r="D66" i="8"/>
  <c r="D77" i="8"/>
  <c r="D69" i="8"/>
  <c r="D73" i="8"/>
  <c r="D79" i="8"/>
  <c r="D71" i="8"/>
  <c r="D65" i="8"/>
  <c r="D82" i="8"/>
  <c r="D9" i="6" a="1"/>
  <c r="D9" i="6" s="1"/>
  <c r="D4" i="6" a="1"/>
  <c r="D4" i="6" s="1"/>
  <c r="K19" i="5"/>
  <c r="J19" i="5"/>
  <c r="I19" i="5"/>
  <c r="K23" i="5"/>
  <c r="J23" i="5"/>
  <c r="I23" i="5"/>
  <c r="K27" i="5"/>
  <c r="J27" i="5"/>
  <c r="I27" i="5"/>
  <c r="K31" i="5"/>
  <c r="J31" i="5"/>
  <c r="I31" i="5"/>
  <c r="K35" i="5"/>
  <c r="J35" i="5"/>
  <c r="I35" i="5"/>
  <c r="K39" i="5"/>
  <c r="J39" i="5"/>
  <c r="I39" i="5"/>
  <c r="K43" i="5"/>
  <c r="J43" i="5"/>
  <c r="I43" i="5"/>
  <c r="K14" i="5"/>
  <c r="I14" i="5"/>
  <c r="J14" i="5"/>
  <c r="K17" i="5"/>
  <c r="J17" i="5"/>
  <c r="I17" i="5"/>
  <c r="K21" i="5"/>
  <c r="J21" i="5"/>
  <c r="I21" i="5"/>
  <c r="K25" i="5"/>
  <c r="L26" i="5" s="1" a="1"/>
  <c r="L26" i="5" s="1"/>
  <c r="J25" i="5"/>
  <c r="I25" i="5"/>
  <c r="K29" i="5"/>
  <c r="J29" i="5"/>
  <c r="I29" i="5"/>
  <c r="K33" i="5"/>
  <c r="J33" i="5"/>
  <c r="I33" i="5"/>
  <c r="K37" i="5"/>
  <c r="J37" i="5"/>
  <c r="I37" i="5"/>
  <c r="K41" i="5"/>
  <c r="J41" i="5"/>
  <c r="I41" i="5"/>
  <c r="K45" i="5"/>
  <c r="J45" i="5"/>
  <c r="I45" i="5"/>
  <c r="U43" i="8"/>
  <c r="V42" i="8"/>
  <c r="U65" i="8" s="1"/>
  <c r="U17" i="8"/>
  <c r="V16" i="8"/>
  <c r="Q19" i="8"/>
  <c r="O19" i="8"/>
  <c r="P19" i="8"/>
  <c r="D64" i="8"/>
  <c r="E64" i="8" s="1"/>
  <c r="A94" i="8"/>
  <c r="D68" i="8"/>
  <c r="D72" i="8"/>
  <c r="D76" i="8"/>
  <c r="D80" i="8"/>
  <c r="D81" i="8"/>
  <c r="D83" i="8"/>
  <c r="A65" i="8"/>
  <c r="A21" i="8"/>
  <c r="N20" i="8"/>
  <c r="D7" i="6" a="1"/>
  <c r="D7" i="6" s="1"/>
  <c r="D8" i="6" a="1"/>
  <c r="D8" i="6" s="1"/>
  <c r="D6" i="6" a="1"/>
  <c r="D6" i="6" s="1"/>
  <c r="F7" i="7" a="1"/>
  <c r="F7" i="7" l="1"/>
  <c r="G7" i="7" s="1"/>
  <c r="H7" i="7" s="1"/>
  <c r="E65" i="8"/>
  <c r="A66" i="8"/>
  <c r="E66" i="8" s="1"/>
  <c r="N21" i="8"/>
  <c r="A22" i="8"/>
  <c r="Q20" i="8"/>
  <c r="O20" i="8"/>
  <c r="P20" i="8"/>
  <c r="A95" i="8"/>
  <c r="V17" i="8"/>
  <c r="U18" i="8"/>
  <c r="U44" i="8"/>
  <c r="V43" i="8"/>
  <c r="U66" i="8" s="1"/>
  <c r="L24" i="5" a="1"/>
  <c r="L24" i="5" s="1"/>
  <c r="M27" i="5" a="1"/>
  <c r="M27" i="5" s="1"/>
  <c r="L27" i="5" a="1"/>
  <c r="L27" i="5" s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10" i="1"/>
  <c r="B4" i="1"/>
  <c r="I7" i="7" a="1"/>
  <c r="I7" i="7" l="1"/>
  <c r="U45" i="8"/>
  <c r="V44" i="8"/>
  <c r="U67" i="8" s="1"/>
  <c r="Q21" i="8"/>
  <c r="O21" i="8"/>
  <c r="P21" i="8"/>
  <c r="V18" i="8"/>
  <c r="U19" i="8"/>
  <c r="A96" i="8"/>
  <c r="A67" i="8"/>
  <c r="E67" i="8" s="1"/>
  <c r="A23" i="8"/>
  <c r="N22" i="8"/>
  <c r="B6" i="1"/>
  <c r="C8" i="7" a="1"/>
  <c r="C8" i="7" l="1"/>
  <c r="D8" i="7" s="1"/>
  <c r="Q22" i="8"/>
  <c r="O22" i="8"/>
  <c r="P22" i="8"/>
  <c r="A97" i="8"/>
  <c r="A68" i="8"/>
  <c r="E68" i="8" s="1"/>
  <c r="N23" i="8"/>
  <c r="A24" i="8"/>
  <c r="V19" i="8"/>
  <c r="U20" i="8"/>
  <c r="U46" i="8"/>
  <c r="V45" i="8"/>
  <c r="U68" i="8" s="1"/>
  <c r="E33" i="1"/>
  <c r="E34" i="1"/>
  <c r="E35" i="1"/>
  <c r="E40" i="1"/>
  <c r="E44" i="1"/>
  <c r="E11" i="1"/>
  <c r="E13" i="1"/>
  <c r="E15" i="1"/>
  <c r="E19" i="1"/>
  <c r="E23" i="1"/>
  <c r="E27" i="1"/>
  <c r="E32" i="1"/>
  <c r="E37" i="1"/>
  <c r="E38" i="1"/>
  <c r="E39" i="1"/>
  <c r="E42" i="1"/>
  <c r="E43" i="1"/>
  <c r="E29" i="1"/>
  <c r="E30" i="1"/>
  <c r="E31" i="1"/>
  <c r="E14" i="1"/>
  <c r="E16" i="1"/>
  <c r="E18" i="1"/>
  <c r="E20" i="1"/>
  <c r="E22" i="1"/>
  <c r="E24" i="1"/>
  <c r="E26" i="1"/>
  <c r="E10" i="1"/>
  <c r="E36" i="1"/>
  <c r="E41" i="1"/>
  <c r="E28" i="1"/>
  <c r="E17" i="1"/>
  <c r="E21" i="1"/>
  <c r="E25" i="1"/>
  <c r="E12" i="1"/>
  <c r="E8" i="7" a="1"/>
  <c r="E8" i="7" l="1"/>
  <c r="V20" i="8"/>
  <c r="U21" i="8"/>
  <c r="A69" i="8"/>
  <c r="E69" i="8" s="1"/>
  <c r="A25" i="8"/>
  <c r="N24" i="8"/>
  <c r="U47" i="8"/>
  <c r="V46" i="8"/>
  <c r="U69" i="8" s="1"/>
  <c r="Q23" i="8"/>
  <c r="O23" i="8"/>
  <c r="P23" i="8"/>
  <c r="A98" i="8"/>
  <c r="U48" i="8" l="1"/>
  <c r="V47" i="8"/>
  <c r="U70" i="8" s="1"/>
  <c r="A70" i="8"/>
  <c r="E70" i="8" s="1"/>
  <c r="N25" i="8"/>
  <c r="A26" i="8"/>
  <c r="V21" i="8"/>
  <c r="U22" i="8"/>
  <c r="A99" i="8"/>
  <c r="Q24" i="8"/>
  <c r="O24" i="8"/>
  <c r="P24" i="8"/>
  <c r="A100" i="8" l="1"/>
  <c r="Q25" i="8"/>
  <c r="O25" i="8"/>
  <c r="P25" i="8"/>
  <c r="V22" i="8"/>
  <c r="U23" i="8"/>
  <c r="A71" i="8"/>
  <c r="E71" i="8" s="1"/>
  <c r="A27" i="8"/>
  <c r="N26" i="8"/>
  <c r="U49" i="8"/>
  <c r="V48" i="8"/>
  <c r="U71" i="8" s="1"/>
  <c r="U50" i="8" l="1"/>
  <c r="V49" i="8"/>
  <c r="U72" i="8" s="1"/>
  <c r="A72" i="8"/>
  <c r="E72" i="8" s="1"/>
  <c r="N27" i="8"/>
  <c r="A28" i="8"/>
  <c r="V23" i="8"/>
  <c r="U24" i="8"/>
  <c r="A101" i="8"/>
  <c r="Q26" i="8"/>
  <c r="O26" i="8"/>
  <c r="P26" i="8"/>
  <c r="A102" i="8" l="1"/>
  <c r="Q27" i="8"/>
  <c r="O27" i="8"/>
  <c r="P27" i="8"/>
  <c r="V24" i="8"/>
  <c r="U25" i="8"/>
  <c r="A73" i="8"/>
  <c r="E73" i="8" s="1"/>
  <c r="A29" i="8"/>
  <c r="N28" i="8"/>
  <c r="V50" i="8"/>
  <c r="U73" i="8" s="1"/>
  <c r="U51" i="8"/>
  <c r="U52" i="8" l="1"/>
  <c r="V51" i="8"/>
  <c r="U74" i="8" s="1"/>
  <c r="Q28" i="8"/>
  <c r="O28" i="8"/>
  <c r="P28" i="8"/>
  <c r="A74" i="8"/>
  <c r="E74" i="8" s="1"/>
  <c r="N29" i="8"/>
  <c r="A30" i="8"/>
  <c r="V25" i="8"/>
  <c r="U26" i="8"/>
  <c r="A103" i="8"/>
  <c r="A104" i="8" l="1"/>
  <c r="V26" i="8"/>
  <c r="U27" i="8"/>
  <c r="A75" i="8"/>
  <c r="E75" i="8" s="1"/>
  <c r="A31" i="8"/>
  <c r="N30" i="8"/>
  <c r="Q29" i="8"/>
  <c r="O29" i="8"/>
  <c r="P29" i="8"/>
  <c r="U53" i="8"/>
  <c r="V52" i="8"/>
  <c r="U75" i="8" s="1"/>
  <c r="A76" i="8" l="1"/>
  <c r="E76" i="8" s="1"/>
  <c r="N31" i="8"/>
  <c r="A32" i="8"/>
  <c r="V27" i="8"/>
  <c r="U28" i="8"/>
  <c r="U54" i="8"/>
  <c r="V53" i="8"/>
  <c r="U76" i="8" s="1"/>
  <c r="Q30" i="8"/>
  <c r="O30" i="8"/>
  <c r="P30" i="8"/>
  <c r="A105" i="8"/>
  <c r="V54" i="8" l="1"/>
  <c r="U77" i="8" s="1"/>
  <c r="U55" i="8"/>
  <c r="Q31" i="8"/>
  <c r="O31" i="8"/>
  <c r="P31" i="8"/>
  <c r="A106" i="8"/>
  <c r="V28" i="8"/>
  <c r="U29" i="8"/>
  <c r="A77" i="8"/>
  <c r="E77" i="8" s="1"/>
  <c r="A33" i="8"/>
  <c r="N32" i="8"/>
  <c r="A78" i="8" l="1"/>
  <c r="E78" i="8" s="1"/>
  <c r="N33" i="8"/>
  <c r="A34" i="8"/>
  <c r="V29" i="8"/>
  <c r="U30" i="8"/>
  <c r="U56" i="8"/>
  <c r="V56" i="8" s="1"/>
  <c r="U79" i="8" s="1"/>
  <c r="V55" i="8"/>
  <c r="U78" i="8" s="1"/>
  <c r="Q32" i="8"/>
  <c r="O32" i="8"/>
  <c r="P32" i="8"/>
  <c r="A107" i="8"/>
  <c r="A108" i="8" l="1"/>
  <c r="Q33" i="8"/>
  <c r="O33" i="8"/>
  <c r="P33" i="8"/>
  <c r="V30" i="8"/>
  <c r="U31" i="8"/>
  <c r="A79" i="8"/>
  <c r="E79" i="8" s="1"/>
  <c r="A35" i="8"/>
  <c r="N34" i="8"/>
  <c r="Q34" i="8" l="1"/>
  <c r="O34" i="8"/>
  <c r="P34" i="8"/>
  <c r="A80" i="8"/>
  <c r="E80" i="8" s="1"/>
  <c r="A36" i="8"/>
  <c r="N35" i="8"/>
  <c r="V31" i="8"/>
  <c r="U32" i="8"/>
  <c r="A109" i="8"/>
  <c r="A110" i="8" l="1"/>
  <c r="A81" i="8"/>
  <c r="E81" i="8" s="1"/>
  <c r="A37" i="8"/>
  <c r="N36" i="8"/>
  <c r="V32" i="8"/>
  <c r="U33" i="8"/>
  <c r="V33" i="8" s="1"/>
  <c r="Q35" i="8"/>
  <c r="O35" i="8"/>
  <c r="P35" i="8"/>
  <c r="Q36" i="8" l="1"/>
  <c r="O36" i="8"/>
  <c r="P36" i="8"/>
  <c r="A82" i="8"/>
  <c r="E82" i="8" s="1"/>
  <c r="A38" i="8"/>
  <c r="N37" i="8"/>
  <c r="A111" i="8"/>
  <c r="A112" i="8" l="1"/>
  <c r="N38" i="8"/>
  <c r="A83" i="8"/>
  <c r="P37" i="8"/>
  <c r="O37" i="8"/>
  <c r="Q37" i="8"/>
  <c r="F8" i="7" a="1"/>
  <c r="F8" i="7" l="1"/>
  <c r="G8" i="7" s="1"/>
  <c r="H8" i="7" s="1"/>
  <c r="E83" i="8"/>
  <c r="A113" i="8"/>
  <c r="P38" i="8"/>
  <c r="O38" i="8"/>
  <c r="K43" i="8" s="1"/>
  <c r="Q38" i="8"/>
  <c r="I8" i="7" a="1"/>
  <c r="K45" i="8" l="1"/>
  <c r="I8" i="7"/>
  <c r="B42" i="8"/>
  <c r="B44" i="8"/>
  <c r="B41" i="8"/>
  <c r="B45" i="8"/>
  <c r="B43" i="8"/>
  <c r="D44" i="8"/>
  <c r="C42" i="8"/>
  <c r="C44" i="8"/>
  <c r="D41" i="8"/>
  <c r="C41" i="8"/>
  <c r="D42" i="8"/>
  <c r="E42" i="8"/>
  <c r="D45" i="8"/>
  <c r="D43" i="8"/>
  <c r="C45" i="8"/>
  <c r="E43" i="8"/>
  <c r="C43" i="8"/>
  <c r="E44" i="8"/>
  <c r="E41" i="8"/>
  <c r="G44" i="8"/>
  <c r="E45" i="8"/>
  <c r="F45" i="8"/>
  <c r="F41" i="8"/>
  <c r="F42" i="8"/>
  <c r="F44" i="8"/>
  <c r="G43" i="8"/>
  <c r="G42" i="8"/>
  <c r="G45" i="8"/>
  <c r="G41" i="8"/>
  <c r="F43" i="8"/>
  <c r="H45" i="8"/>
  <c r="H43" i="8"/>
  <c r="H42" i="8"/>
  <c r="H44" i="8"/>
  <c r="H41" i="8"/>
  <c r="I43" i="8"/>
  <c r="I41" i="8"/>
  <c r="I44" i="8"/>
  <c r="J42" i="8"/>
  <c r="I45" i="8"/>
  <c r="I42" i="8"/>
  <c r="J43" i="8"/>
  <c r="J44" i="8"/>
  <c r="J45" i="8"/>
  <c r="A114" i="8"/>
  <c r="J41" i="8"/>
  <c r="K44" i="8"/>
  <c r="A60" i="8" s="1"/>
  <c r="C9" i="7" a="1"/>
  <c r="C9" i="7" l="1"/>
  <c r="D9" i="7" s="1"/>
  <c r="A54" i="8"/>
  <c r="K113" i="8"/>
  <c r="K112" i="8"/>
  <c r="K109" i="8"/>
  <c r="K105" i="8"/>
  <c r="K101" i="8"/>
  <c r="K97" i="8"/>
  <c r="K93" i="8"/>
  <c r="K88" i="8"/>
  <c r="K110" i="8"/>
  <c r="K107" i="8"/>
  <c r="K103" i="8"/>
  <c r="K99" i="8"/>
  <c r="K95" i="8"/>
  <c r="K92" i="8"/>
  <c r="A53" i="8"/>
  <c r="J114" i="8"/>
  <c r="J112" i="8"/>
  <c r="J110" i="8"/>
  <c r="J113" i="8"/>
  <c r="J109" i="8"/>
  <c r="J107" i="8"/>
  <c r="J105" i="8"/>
  <c r="J103" i="8"/>
  <c r="J101" i="8"/>
  <c r="J106" i="8"/>
  <c r="J102" i="8"/>
  <c r="J100" i="8"/>
  <c r="J98" i="8"/>
  <c r="J96" i="8"/>
  <c r="J94" i="8"/>
  <c r="J92" i="8"/>
  <c r="J90" i="8"/>
  <c r="J88" i="8"/>
  <c r="J108" i="8"/>
  <c r="J99" i="8"/>
  <c r="J95" i="8"/>
  <c r="J91" i="8"/>
  <c r="J46" i="8"/>
  <c r="J47" i="8" s="1"/>
  <c r="J111" i="8"/>
  <c r="J104" i="8"/>
  <c r="J93" i="8"/>
  <c r="J89" i="8"/>
  <c r="J97" i="8"/>
  <c r="I113" i="8"/>
  <c r="I111" i="8"/>
  <c r="I109" i="8"/>
  <c r="I112" i="8"/>
  <c r="I108" i="8"/>
  <c r="I106" i="8"/>
  <c r="I104" i="8"/>
  <c r="I102" i="8"/>
  <c r="I110" i="8"/>
  <c r="I105" i="8"/>
  <c r="I101" i="8"/>
  <c r="I99" i="8"/>
  <c r="I97" i="8"/>
  <c r="I95" i="8"/>
  <c r="I93" i="8"/>
  <c r="I91" i="8"/>
  <c r="I89" i="8"/>
  <c r="I103" i="8"/>
  <c r="I98" i="8"/>
  <c r="I94" i="8"/>
  <c r="I90" i="8"/>
  <c r="I88" i="8"/>
  <c r="I114" i="8"/>
  <c r="I107" i="8"/>
  <c r="I96" i="8"/>
  <c r="I100" i="8"/>
  <c r="I92" i="8"/>
  <c r="I46" i="8"/>
  <c r="I47" i="8" s="1"/>
  <c r="H114" i="8"/>
  <c r="H112" i="8"/>
  <c r="H110" i="8"/>
  <c r="H111" i="8"/>
  <c r="H107" i="8"/>
  <c r="H105" i="8"/>
  <c r="H103" i="8"/>
  <c r="H113" i="8"/>
  <c r="H108" i="8"/>
  <c r="H104" i="8"/>
  <c r="H100" i="8"/>
  <c r="H98" i="8"/>
  <c r="H96" i="8"/>
  <c r="H94" i="8"/>
  <c r="H92" i="8"/>
  <c r="H90" i="8"/>
  <c r="H88" i="8"/>
  <c r="H109" i="8"/>
  <c r="H106" i="8"/>
  <c r="H101" i="8"/>
  <c r="H97" i="8"/>
  <c r="H93" i="8"/>
  <c r="H89" i="8"/>
  <c r="H46" i="8"/>
  <c r="H47" i="8" s="1"/>
  <c r="H99" i="8"/>
  <c r="H91" i="8"/>
  <c r="H102" i="8"/>
  <c r="H95" i="8"/>
  <c r="A57" i="8"/>
  <c r="G113" i="8"/>
  <c r="G111" i="8"/>
  <c r="G109" i="8"/>
  <c r="G114" i="8"/>
  <c r="G110" i="8"/>
  <c r="G108" i="8"/>
  <c r="G106" i="8"/>
  <c r="G104" i="8"/>
  <c r="G102" i="8"/>
  <c r="G107" i="8"/>
  <c r="G103" i="8"/>
  <c r="G101" i="8"/>
  <c r="G99" i="8"/>
  <c r="G97" i="8"/>
  <c r="G95" i="8"/>
  <c r="G93" i="8"/>
  <c r="G91" i="8"/>
  <c r="G89" i="8"/>
  <c r="G112" i="8"/>
  <c r="G100" i="8"/>
  <c r="G96" i="8"/>
  <c r="G92" i="8"/>
  <c r="G94" i="8"/>
  <c r="G46" i="8"/>
  <c r="G47" i="8" s="1"/>
  <c r="G105" i="8"/>
  <c r="G98" i="8"/>
  <c r="G90" i="8"/>
  <c r="G88" i="8"/>
  <c r="F114" i="8"/>
  <c r="F112" i="8"/>
  <c r="F110" i="8"/>
  <c r="F113" i="8"/>
  <c r="F109" i="8"/>
  <c r="F107" i="8"/>
  <c r="F105" i="8"/>
  <c r="F103" i="8"/>
  <c r="F111" i="8"/>
  <c r="F106" i="8"/>
  <c r="F102" i="8"/>
  <c r="F100" i="8"/>
  <c r="F98" i="8"/>
  <c r="F96" i="8"/>
  <c r="F94" i="8"/>
  <c r="F92" i="8"/>
  <c r="F90" i="8"/>
  <c r="F88" i="8"/>
  <c r="F104" i="8"/>
  <c r="F99" i="8"/>
  <c r="F95" i="8"/>
  <c r="F91" i="8"/>
  <c r="F46" i="8"/>
  <c r="F47" i="8" s="1"/>
  <c r="F97" i="8"/>
  <c r="F108" i="8"/>
  <c r="F101" i="8"/>
  <c r="F93" i="8"/>
  <c r="F89" i="8"/>
  <c r="E113" i="8"/>
  <c r="E111" i="8"/>
  <c r="E112" i="8"/>
  <c r="E108" i="8"/>
  <c r="E106" i="8"/>
  <c r="E104" i="8"/>
  <c r="E102" i="8"/>
  <c r="E114" i="8"/>
  <c r="E109" i="8"/>
  <c r="E105" i="8"/>
  <c r="E101" i="8"/>
  <c r="E99" i="8"/>
  <c r="E97" i="8"/>
  <c r="E95" i="8"/>
  <c r="E93" i="8"/>
  <c r="E91" i="8"/>
  <c r="E89" i="8"/>
  <c r="E107" i="8"/>
  <c r="E98" i="8"/>
  <c r="E94" i="8"/>
  <c r="E90" i="8"/>
  <c r="E88" i="8"/>
  <c r="E103" i="8"/>
  <c r="E100" i="8"/>
  <c r="E92" i="8"/>
  <c r="E110" i="8"/>
  <c r="E96" i="8"/>
  <c r="E46" i="8"/>
  <c r="E47" i="8" s="1"/>
  <c r="A52" i="8"/>
  <c r="D114" i="8"/>
  <c r="D112" i="8"/>
  <c r="D110" i="8"/>
  <c r="D111" i="8"/>
  <c r="D109" i="8"/>
  <c r="D107" i="8"/>
  <c r="D105" i="8"/>
  <c r="D103" i="8"/>
  <c r="D108" i="8"/>
  <c r="D104" i="8"/>
  <c r="D100" i="8"/>
  <c r="D98" i="8"/>
  <c r="D96" i="8"/>
  <c r="D94" i="8"/>
  <c r="D92" i="8"/>
  <c r="D90" i="8"/>
  <c r="D88" i="8"/>
  <c r="D102" i="8"/>
  <c r="D101" i="8"/>
  <c r="D97" i="8"/>
  <c r="D93" i="8"/>
  <c r="D89" i="8"/>
  <c r="D46" i="8"/>
  <c r="D47" i="8" s="1"/>
  <c r="D106" i="8"/>
  <c r="D95" i="8"/>
  <c r="D113" i="8"/>
  <c r="D99" i="8"/>
  <c r="D91" i="8"/>
  <c r="B114" i="8"/>
  <c r="B112" i="8"/>
  <c r="B110" i="8"/>
  <c r="B113" i="8"/>
  <c r="B109" i="8"/>
  <c r="B107" i="8"/>
  <c r="B105" i="8"/>
  <c r="B103" i="8"/>
  <c r="B106" i="8"/>
  <c r="B102" i="8"/>
  <c r="B100" i="8"/>
  <c r="B98" i="8"/>
  <c r="B96" i="8"/>
  <c r="B94" i="8"/>
  <c r="B92" i="8"/>
  <c r="B90" i="8"/>
  <c r="B88" i="8"/>
  <c r="B111" i="8"/>
  <c r="B108" i="8"/>
  <c r="B99" i="8"/>
  <c r="B95" i="8"/>
  <c r="B91" i="8"/>
  <c r="B46" i="8"/>
  <c r="B47" i="8" s="1"/>
  <c r="B101" i="8"/>
  <c r="B93" i="8"/>
  <c r="B89" i="8"/>
  <c r="B104" i="8"/>
  <c r="B97" i="8"/>
  <c r="K111" i="8"/>
  <c r="K46" i="8"/>
  <c r="K47" i="8" s="1"/>
  <c r="K108" i="8"/>
  <c r="K106" i="8"/>
  <c r="K104" i="8"/>
  <c r="K102" i="8"/>
  <c r="K100" i="8"/>
  <c r="K98" i="8"/>
  <c r="K96" i="8"/>
  <c r="K94" i="8"/>
  <c r="K91" i="8"/>
  <c r="K89" i="8"/>
  <c r="K90" i="8"/>
  <c r="A115" i="8"/>
  <c r="K114" i="8"/>
  <c r="A59" i="8"/>
  <c r="A58" i="8"/>
  <c r="A56" i="8"/>
  <c r="A55" i="8"/>
  <c r="C115" i="8"/>
  <c r="C113" i="8"/>
  <c r="C111" i="8"/>
  <c r="C114" i="8"/>
  <c r="C110" i="8"/>
  <c r="C108" i="8"/>
  <c r="C106" i="8"/>
  <c r="C104" i="8"/>
  <c r="C102" i="8"/>
  <c r="C112" i="8"/>
  <c r="C107" i="8"/>
  <c r="C103" i="8"/>
  <c r="C101" i="8"/>
  <c r="C99" i="8"/>
  <c r="C97" i="8"/>
  <c r="C95" i="8"/>
  <c r="C93" i="8"/>
  <c r="C91" i="8"/>
  <c r="C89" i="8"/>
  <c r="C105" i="8"/>
  <c r="C100" i="8"/>
  <c r="C96" i="8"/>
  <c r="C92" i="8"/>
  <c r="C109" i="8"/>
  <c r="C98" i="8"/>
  <c r="C90" i="8"/>
  <c r="C88" i="8"/>
  <c r="C46" i="8"/>
  <c r="C47" i="8" s="1"/>
  <c r="C94" i="8"/>
  <c r="A51" i="8"/>
  <c r="E9" i="7" a="1"/>
  <c r="E9" i="7" l="1"/>
  <c r="K115" i="8"/>
  <c r="A116" i="8"/>
  <c r="E115" i="8"/>
  <c r="F115" i="8"/>
  <c r="G115" i="8"/>
  <c r="J115" i="8"/>
  <c r="B115" i="8"/>
  <c r="D115" i="8"/>
  <c r="H115" i="8"/>
  <c r="I115" i="8"/>
  <c r="F9" i="7" a="1"/>
  <c r="F9" i="7" l="1"/>
  <c r="G9" i="7" s="1"/>
  <c r="H9" i="7" s="1"/>
  <c r="A117" i="8"/>
  <c r="K116" i="8"/>
  <c r="J116" i="8"/>
  <c r="I116" i="8"/>
  <c r="H116" i="8"/>
  <c r="G116" i="8"/>
  <c r="E116" i="8"/>
  <c r="D116" i="8"/>
  <c r="B116" i="8"/>
  <c r="F116" i="8"/>
  <c r="C116" i="8"/>
  <c r="I9" i="7" a="1"/>
  <c r="I9" i="7" l="1"/>
  <c r="K117" i="8"/>
  <c r="A118" i="8"/>
  <c r="G117" i="8"/>
  <c r="F117" i="8"/>
  <c r="E117" i="8"/>
  <c r="D117" i="8"/>
  <c r="C117" i="8"/>
  <c r="J117" i="8"/>
  <c r="I117" i="8"/>
  <c r="H117" i="8"/>
  <c r="B117" i="8"/>
  <c r="C10" i="7" a="1"/>
  <c r="C10" i="7" l="1"/>
  <c r="D10" i="7" s="1"/>
  <c r="A119" i="8"/>
  <c r="K118" i="8"/>
  <c r="I118" i="8"/>
  <c r="G118" i="8"/>
  <c r="F118" i="8"/>
  <c r="J118" i="8"/>
  <c r="H118" i="8"/>
  <c r="E118" i="8"/>
  <c r="D118" i="8"/>
  <c r="B118" i="8"/>
  <c r="C118" i="8"/>
  <c r="E10" i="7" a="1"/>
  <c r="E10" i="7" l="1"/>
  <c r="K119" i="8"/>
  <c r="A120" i="8"/>
  <c r="I119" i="8"/>
  <c r="F119" i="8"/>
  <c r="J119" i="8"/>
  <c r="H119" i="8"/>
  <c r="G119" i="8"/>
  <c r="E119" i="8"/>
  <c r="D119" i="8"/>
  <c r="B119" i="8"/>
  <c r="C119" i="8"/>
  <c r="F10" i="7" a="1"/>
  <c r="F10" i="7" l="1"/>
  <c r="G10" i="7" s="1"/>
  <c r="H10" i="7" s="1"/>
  <c r="A121" i="8"/>
  <c r="K120" i="8"/>
  <c r="J120" i="8"/>
  <c r="H120" i="8"/>
  <c r="G120" i="8"/>
  <c r="D120" i="8"/>
  <c r="B120" i="8"/>
  <c r="C120" i="8"/>
  <c r="I120" i="8"/>
  <c r="F120" i="8"/>
  <c r="E120" i="8"/>
  <c r="I10" i="7" a="1"/>
  <c r="I10" i="7" l="1"/>
  <c r="K121" i="8"/>
  <c r="A122" i="8"/>
  <c r="J121" i="8"/>
  <c r="G121" i="8"/>
  <c r="E121" i="8"/>
  <c r="D121" i="8"/>
  <c r="B121" i="8"/>
  <c r="C121" i="8"/>
  <c r="I121" i="8"/>
  <c r="H121" i="8"/>
  <c r="F121" i="8"/>
  <c r="C11" i="7" a="1"/>
  <c r="C11" i="7" l="1"/>
  <c r="D11" i="7" s="1"/>
  <c r="A123" i="8"/>
  <c r="K122" i="8"/>
  <c r="I122" i="8"/>
  <c r="F122" i="8"/>
  <c r="E122" i="8"/>
  <c r="C122" i="8"/>
  <c r="J122" i="8"/>
  <c r="H122" i="8"/>
  <c r="G122" i="8"/>
  <c r="D122" i="8"/>
  <c r="B122" i="8"/>
  <c r="E11" i="7" a="1"/>
  <c r="E11" i="7" l="1"/>
  <c r="K123" i="8"/>
  <c r="A124" i="8"/>
  <c r="J123" i="8"/>
  <c r="I123" i="8"/>
  <c r="H123" i="8"/>
  <c r="D123" i="8"/>
  <c r="G123" i="8"/>
  <c r="F123" i="8"/>
  <c r="E123" i="8"/>
  <c r="B123" i="8"/>
  <c r="C123" i="8"/>
  <c r="F11" i="7" a="1"/>
  <c r="F11" i="7" l="1"/>
  <c r="G11" i="7" s="1"/>
  <c r="H11" i="7" s="1"/>
  <c r="K124" i="8"/>
  <c r="J124" i="8"/>
  <c r="I124" i="8"/>
  <c r="H124" i="8"/>
  <c r="E124" i="8"/>
  <c r="D124" i="8"/>
  <c r="B124" i="8"/>
  <c r="G124" i="8"/>
  <c r="F124" i="8"/>
  <c r="C124" i="8"/>
  <c r="I11" i="7" a="1"/>
  <c r="I11" i="7" l="1"/>
  <c r="C12" i="7" a="1"/>
  <c r="C12" i="7" l="1"/>
  <c r="D12" i="7" l="1"/>
  <c r="E12" i="7" a="1"/>
  <c r="E12" i="7" l="1"/>
  <c r="F12" i="7" a="1"/>
  <c r="F12" i="7" l="1"/>
  <c r="G12" i="7" s="1"/>
  <c r="H12" i="7" s="1"/>
  <c r="I12" i="7" a="1"/>
  <c r="I12" i="7" l="1"/>
  <c r="C13" i="7" a="1"/>
  <c r="C13" i="7" l="1"/>
  <c r="D13" i="7" l="1"/>
  <c r="E13" i="7" a="1"/>
  <c r="E13" i="7" l="1"/>
  <c r="F13" i="7" a="1"/>
  <c r="F13" i="7" l="1"/>
  <c r="G13" i="7" s="1"/>
  <c r="H13" i="7" s="1"/>
  <c r="I13" i="7" a="1"/>
  <c r="I13" i="7" l="1"/>
  <c r="C14" i="7" a="1"/>
  <c r="C14" i="7" l="1"/>
  <c r="D14" i="7" l="1"/>
  <c r="E14" i="7" a="1"/>
  <c r="E14" i="7" l="1"/>
  <c r="F14" i="7" a="1"/>
  <c r="F14" i="7" l="1"/>
  <c r="G14" i="7" s="1"/>
  <c r="H14" i="7" s="1"/>
  <c r="I14" i="7" a="1"/>
  <c r="I14" i="7" l="1"/>
  <c r="C15" i="7" a="1"/>
  <c r="C15" i="7" l="1"/>
  <c r="D15" i="7" l="1"/>
  <c r="E15" i="7" a="1"/>
  <c r="E15" i="7" l="1"/>
  <c r="F15" i="7" a="1"/>
  <c r="F15" i="7" l="1"/>
  <c r="G15" i="7" s="1"/>
  <c r="H15" i="7" s="1"/>
  <c r="I15" i="7" a="1"/>
  <c r="I15" i="7" l="1"/>
  <c r="C16" i="7" a="1"/>
  <c r="C16" i="7" l="1"/>
  <c r="D16" i="7" l="1"/>
  <c r="E16" i="7" a="1"/>
  <c r="E16" i="7" l="1"/>
  <c r="F16" i="7" a="1"/>
  <c r="F16" i="7" l="1"/>
  <c r="G16" i="7" s="1"/>
  <c r="H16" i="7" s="1"/>
  <c r="I16" i="7" a="1"/>
  <c r="I16" i="7" l="1"/>
  <c r="C17" i="7" a="1"/>
  <c r="C17" i="7" l="1"/>
  <c r="D17" i="7" l="1"/>
  <c r="E17" i="7" a="1"/>
  <c r="E17" i="7" l="1"/>
  <c r="F17" i="7" a="1"/>
  <c r="F17" i="7" l="1"/>
  <c r="G17" i="7" s="1"/>
  <c r="H17" i="7" s="1"/>
  <c r="I17" i="7" a="1"/>
  <c r="I17" i="7" l="1"/>
  <c r="C18" i="7" a="1"/>
  <c r="C18" i="7" l="1"/>
  <c r="D18" i="7" s="1"/>
  <c r="E18" i="7" a="1"/>
  <c r="E18" i="7" l="1"/>
  <c r="F18" i="7" a="1"/>
  <c r="F18" i="7" l="1"/>
  <c r="G18" i="7" s="1"/>
  <c r="H18" i="7" s="1"/>
  <c r="I18" i="7" a="1"/>
  <c r="I18" i="7" l="1"/>
  <c r="C19" i="7" a="1"/>
  <c r="C19" i="7" l="1"/>
  <c r="D19" i="7" l="1"/>
  <c r="B23" i="7"/>
  <c r="E19" i="7" a="1"/>
  <c r="E19" i="7" l="1"/>
  <c r="D31" i="7"/>
  <c r="F19" i="7" a="1"/>
  <c r="F19" i="7" l="1"/>
  <c r="G19" i="7" s="1"/>
  <c r="H19" i="7" s="1"/>
  <c r="I19" i="7" a="1"/>
  <c r="I19" i="7" l="1"/>
  <c r="B24" i="7" l="1"/>
  <c r="D3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<sst xmlns="http://schemas.openxmlformats.org/spreadsheetml/2006/main" count="166" uniqueCount="121">
  <si>
    <t>V_max</t>
  </si>
  <si>
    <t>T_h</t>
  </si>
  <si>
    <t>C</t>
  </si>
  <si>
    <t>I_max</t>
  </si>
  <si>
    <t>R_p</t>
  </si>
  <si>
    <t>ohm</t>
  </si>
  <si>
    <t>A</t>
  </si>
  <si>
    <t>V</t>
  </si>
  <si>
    <t>P</t>
  </si>
  <si>
    <t>Q_max</t>
  </si>
  <si>
    <t>W</t>
  </si>
  <si>
    <t>I</t>
  </si>
  <si>
    <t>T increase</t>
  </si>
  <si>
    <t>G_HS</t>
  </si>
  <si>
    <t>W/K</t>
  </si>
  <si>
    <t>T decrease</t>
  </si>
  <si>
    <t>T amb</t>
  </si>
  <si>
    <t>T load</t>
  </si>
  <si>
    <t>solar</t>
  </si>
  <si>
    <t>albedo</t>
  </si>
  <si>
    <t>F_earth</t>
  </si>
  <si>
    <t>W/m2</t>
  </si>
  <si>
    <t>K</t>
  </si>
  <si>
    <t>where</t>
  </si>
  <si>
    <t>R_bus</t>
  </si>
  <si>
    <t>K/W</t>
  </si>
  <si>
    <t>R_S/O</t>
  </si>
  <si>
    <t>T_B</t>
  </si>
  <si>
    <t>q_D</t>
  </si>
  <si>
    <t>sigma</t>
  </si>
  <si>
    <t>W/m2K4</t>
  </si>
  <si>
    <t>T_earth</t>
  </si>
  <si>
    <t>emiss_out</t>
  </si>
  <si>
    <t>A_1U</t>
  </si>
  <si>
    <t>A_2U</t>
  </si>
  <si>
    <t>A_3U</t>
  </si>
  <si>
    <t>R_surf</t>
  </si>
  <si>
    <t>1U</t>
  </si>
  <si>
    <t>2U</t>
  </si>
  <si>
    <t>3U</t>
  </si>
  <si>
    <t>1/m2</t>
  </si>
  <si>
    <t>R_earth</t>
  </si>
  <si>
    <t>F_space</t>
  </si>
  <si>
    <t>absorp</t>
  </si>
  <si>
    <t>R_space</t>
  </si>
  <si>
    <t>Rad temp</t>
  </si>
  <si>
    <t>T_D</t>
  </si>
  <si>
    <t>280 K, or 7C</t>
  </si>
  <si>
    <t>265 K, or -8C</t>
  </si>
  <si>
    <t>Assume 2U radiator</t>
  </si>
  <si>
    <t>β (degrees)</t>
  </si>
  <si>
    <t>β (rad)</t>
  </si>
  <si>
    <t>Incident solar (W)</t>
  </si>
  <si>
    <t>Interpolated temp (K)</t>
  </si>
  <si>
    <t>When the TEC is turned on, do we have a large enough radiator to accomidate the excess waste heat?</t>
  </si>
  <si>
    <r>
      <t xml:space="preserve">This is a multi-step process. Start with initial thermal load to reach desired temperature, </t>
    </r>
    <r>
      <rPr>
        <sz val="11"/>
        <color theme="1"/>
        <rFont val="Calibri"/>
        <family val="2"/>
      </rPr>
      <t>Δ</t>
    </r>
    <r>
      <rPr>
        <i/>
        <sz val="11"/>
        <color theme="1"/>
        <rFont val="Calibri"/>
        <family val="2"/>
      </rPr>
      <t>T_0,</t>
    </r>
    <r>
      <rPr>
        <i/>
        <sz val="11"/>
        <color theme="1"/>
        <rFont val="Calibri"/>
        <family val="2"/>
        <scheme val="minor"/>
      </rPr>
      <t xml:space="preserve"> then see how much hot side rises because of this output heat</t>
    </r>
  </si>
  <si>
    <t>Repeat first step until ΔT between hot side and radiator is large enough to balance Q_R</t>
  </si>
  <si>
    <t>T_C</t>
  </si>
  <si>
    <t>Iteration</t>
  </si>
  <si>
    <t>T_H</t>
  </si>
  <si>
    <t>ΔT</t>
  </si>
  <si>
    <t>I_TEC</t>
  </si>
  <si>
    <t>V_TEC</t>
  </si>
  <si>
    <t>Q_TEC</t>
  </si>
  <si>
    <t>Q_R</t>
  </si>
  <si>
    <t>T_rad</t>
  </si>
  <si>
    <t>Thermo Electric Cooler Sizing</t>
  </si>
  <si>
    <t>!!! ESTIMATES VALID FOR 1 OR 2 STAGE TECs ONLY !!!</t>
  </si>
  <si>
    <t>Known Data from Marlow Website for Specific TEC</t>
  </si>
  <si>
    <t>GENERIC MARLOW DATA</t>
  </si>
  <si>
    <t>Thot</t>
  </si>
  <si>
    <t>1. The original data was enlarged to determine the X/Y points as shown in first table below</t>
  </si>
  <si>
    <t>DTMax</t>
  </si>
  <si>
    <t>2. The actual values were then converted from points to the corresponding plot value</t>
  </si>
  <si>
    <t>Qmax</t>
  </si>
  <si>
    <t>3. These values are then used to compute the specific preformance for a given set of TEC characteristics</t>
  </si>
  <si>
    <t>Imax</t>
  </si>
  <si>
    <t>Vmax</t>
  </si>
  <si>
    <t>Width Corresponding to 0 to 1</t>
  </si>
  <si>
    <t>Height Corresponding to 0 to 1</t>
  </si>
  <si>
    <t>X1</t>
  </si>
  <si>
    <t>Y1</t>
  </si>
  <si>
    <t>Extrapolated Data</t>
  </si>
  <si>
    <t>X2</t>
  </si>
  <si>
    <t>Y2</t>
  </si>
  <si>
    <t>Index</t>
  </si>
  <si>
    <t>X Loc</t>
  </si>
  <si>
    <t>Y0</t>
  </si>
  <si>
    <t>Y3</t>
  </si>
  <si>
    <t>Y4</t>
  </si>
  <si>
    <t>Y5</t>
  </si>
  <si>
    <t>Y6</t>
  </si>
  <si>
    <t>Y7</t>
  </si>
  <si>
    <t>Y8</t>
  </si>
  <si>
    <t>Y9</t>
  </si>
  <si>
    <t>Predicted Performance (DT vs. Q, I )</t>
  </si>
  <si>
    <t>I2</t>
  </si>
  <si>
    <t>I3</t>
  </si>
  <si>
    <t>I4</t>
  </si>
  <si>
    <t>Coefficients</t>
  </si>
  <si>
    <t>DT = A(I^4) + B(I^3) + C(I^2) + D(I) + E</t>
  </si>
  <si>
    <t>B</t>
  </si>
  <si>
    <t>D</t>
  </si>
  <si>
    <t>E</t>
  </si>
  <si>
    <t>Check</t>
  </si>
  <si>
    <t>% Dif</t>
  </si>
  <si>
    <t>SINDA</t>
  </si>
  <si>
    <t>C  Qpara, Thot</t>
  </si>
  <si>
    <t>Voltage</t>
  </si>
  <si>
    <t>Q=0</t>
  </si>
  <si>
    <t>DT=0</t>
  </si>
  <si>
    <t>V (Q=0)</t>
  </si>
  <si>
    <t>V (DT=0)</t>
  </si>
  <si>
    <t>V avg</t>
  </si>
  <si>
    <t>P Avg</t>
  </si>
  <si>
    <t>Plot Data</t>
  </si>
  <si>
    <t>Current</t>
  </si>
  <si>
    <t>q_load</t>
  </si>
  <si>
    <t>point</t>
  </si>
  <si>
    <t>ΔT (H-rad)</t>
  </si>
  <si>
    <t>ΔT (TEC)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</si>
</sst>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b/>
      <sz val="14"/>
      <name val="Arial"/>
      <family val="2"/>
    </font>
    <font>
      <b/>
      <i/>
      <sz val="14"/>
      <color rgb="FFFFFF00"/>
      <name val="Arial"/>
      <family val="2"/>
    </font>
    <font>
      <b/>
      <i/>
      <sz val="10"/>
      <color rgb="FFFFFF00"/>
      <name val="Arial"/>
      <family val="2"/>
    </font>
    <font>
      <b/>
      <sz val="10"/>
      <name val="Arial"/>
      <family val="2"/>
    </font>
    <font>
      <b/>
      <sz val="10"/>
      <color rgb="FF00B0F0"/>
      <name val="Arial"/>
      <family val="2"/>
    </font>
    <font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11" fontId="0" fillId="0" borderId="0" xfId="0" applyNumberFormat="1"/>
    <xf numFmtId="0" fontId="0" fillId="0" borderId="0" xfId="0" applyAlignment="1"/>
    <xf numFmtId="0" fontId="4" fillId="0" borderId="0" xfId="0" applyFont="1"/>
    <xf numFmtId="0" fontId="1" fillId="0" borderId="0" xfId="1"/>
    <xf numFmtId="0" fontId="7" fillId="3" borderId="0" xfId="1" applyFont="1" applyFill="1"/>
    <xf numFmtId="0" fontId="8" fillId="3" borderId="0" xfId="1" applyFont="1" applyFill="1"/>
    <xf numFmtId="0" fontId="7" fillId="3" borderId="0" xfId="1" applyFont="1" applyFill="1" applyAlignment="1">
      <alignment horizontal="right"/>
    </xf>
    <xf numFmtId="0" fontId="9" fillId="0" borderId="4" xfId="1" applyFont="1" applyBorder="1"/>
    <xf numFmtId="0" fontId="1" fillId="0" borderId="5" xfId="1" applyBorder="1"/>
    <xf numFmtId="0" fontId="1" fillId="0" borderId="6" xfId="1" applyBorder="1"/>
    <xf numFmtId="0" fontId="6" fillId="0" borderId="0" xfId="1" applyFont="1"/>
    <xf numFmtId="0" fontId="1" fillId="0" borderId="7" xfId="1" applyBorder="1"/>
    <xf numFmtId="0" fontId="10" fillId="0" borderId="0" xfId="1" applyFont="1"/>
    <xf numFmtId="0" fontId="1" fillId="0" borderId="8" xfId="1" applyBorder="1"/>
    <xf numFmtId="0" fontId="1" fillId="0" borderId="9" xfId="1" applyBorder="1"/>
    <xf numFmtId="0" fontId="1" fillId="0" borderId="10" xfId="1" applyBorder="1"/>
    <xf numFmtId="0" fontId="1" fillId="0" borderId="11" xfId="1" applyBorder="1"/>
    <xf numFmtId="0" fontId="1" fillId="0" borderId="12" xfId="1" applyBorder="1"/>
    <xf numFmtId="0" fontId="9" fillId="0" borderId="7" xfId="1" applyFont="1" applyBorder="1"/>
    <xf numFmtId="0" fontId="11" fillId="4" borderId="0" xfId="1" applyFont="1" applyFill="1"/>
    <xf numFmtId="0" fontId="9" fillId="0" borderId="0" xfId="1" applyFont="1"/>
    <xf numFmtId="164" fontId="3" fillId="0" borderId="0" xfId="2" applyNumberFormat="1" applyFont="1" applyBorder="1"/>
    <xf numFmtId="0" fontId="1" fillId="0" borderId="4" xfId="1" applyBorder="1"/>
    <xf numFmtId="10" fontId="0" fillId="0" borderId="0" xfId="0" applyNumberFormat="1"/>
    <xf numFmtId="0" fontId="6" fillId="2" borderId="1" xfId="1" applyFont="1" applyFill="1" applyBorder="1" applyAlignment="1">
      <alignment horizontal="center"/>
    </xf>
    <xf numFmtId="0" fontId="6" fillId="2" borderId="2" xfId="1" applyFont="1" applyFill="1" applyBorder="1" applyAlignment="1">
      <alignment horizontal="center"/>
    </xf>
    <xf numFmtId="0" fontId="6" fillId="2" borderId="3" xfId="1" applyFont="1" applyFill="1" applyBorder="1" applyAlignment="1">
      <alignment horizontal="center"/>
    </xf>
  </cellXfs>
  <cellStyles count="3">
    <cellStyle name="Normal" xfId="0" builtinId="0"/>
    <cellStyle name="Normal 2" xfId="1" xr:uid="{CBFED7AF-CA8F-4A6A-9DEE-ED82F4F12C25}"/>
    <cellStyle name="Percent 2" xfId="2" xr:uid="{BE0E7E1D-E76E-46B2-AA6E-DDAEA092D17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Sheet1!$A$10:$A$44</c:f>
              <c:numCache>
                <c:formatCode>General</c:formatCode>
                <c:ptCount val="35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0.45</c:v>
                </c:pt>
                <c:pt idx="4">
                  <c:v>0.6</c:v>
                </c:pt>
                <c:pt idx="5">
                  <c:v>0.75</c:v>
                </c:pt>
                <c:pt idx="6">
                  <c:v>0.9</c:v>
                </c:pt>
                <c:pt idx="7">
                  <c:v>1.05</c:v>
                </c:pt>
                <c:pt idx="8">
                  <c:v>1.2</c:v>
                </c:pt>
                <c:pt idx="9">
                  <c:v>1.35</c:v>
                </c:pt>
                <c:pt idx="10">
                  <c:v>1.5</c:v>
                </c:pt>
                <c:pt idx="11">
                  <c:v>1.65</c:v>
                </c:pt>
                <c:pt idx="12">
                  <c:v>1.8</c:v>
                </c:pt>
                <c:pt idx="13">
                  <c:v>1.95</c:v>
                </c:pt>
                <c:pt idx="14">
                  <c:v>2.1</c:v>
                </c:pt>
                <c:pt idx="15">
                  <c:v>2.25</c:v>
                </c:pt>
                <c:pt idx="16">
                  <c:v>2.4</c:v>
                </c:pt>
                <c:pt idx="17">
                  <c:v>2.5499999999999998</c:v>
                </c:pt>
                <c:pt idx="18">
                  <c:v>2.7</c:v>
                </c:pt>
                <c:pt idx="19">
                  <c:v>2.85</c:v>
                </c:pt>
                <c:pt idx="20">
                  <c:v>3</c:v>
                </c:pt>
                <c:pt idx="21">
                  <c:v>3.15</c:v>
                </c:pt>
                <c:pt idx="22">
                  <c:v>3.3</c:v>
                </c:pt>
                <c:pt idx="23">
                  <c:v>3.45</c:v>
                </c:pt>
                <c:pt idx="24">
                  <c:v>3.6</c:v>
                </c:pt>
                <c:pt idx="25">
                  <c:v>3.75</c:v>
                </c:pt>
                <c:pt idx="26">
                  <c:v>3.9</c:v>
                </c:pt>
                <c:pt idx="27">
                  <c:v>4.05</c:v>
                </c:pt>
                <c:pt idx="28">
                  <c:v>4.2</c:v>
                </c:pt>
                <c:pt idx="29">
                  <c:v>4.3499999999999996</c:v>
                </c:pt>
                <c:pt idx="30">
                  <c:v>4.5</c:v>
                </c:pt>
                <c:pt idx="31">
                  <c:v>4.6500000000000004</c:v>
                </c:pt>
                <c:pt idx="32">
                  <c:v>4.8</c:v>
                </c:pt>
                <c:pt idx="33">
                  <c:v>4.95</c:v>
                </c:pt>
                <c:pt idx="34">
                  <c:v>5</c:v>
                </c:pt>
              </c:numCache>
            </c:numRef>
          </c:xVal>
          <c:yVal>
            <c:numRef>
              <c:f>Sheet1!$E$10:$E$44</c:f>
              <c:numCache>
                <c:formatCode>General</c:formatCode>
                <c:ptCount val="35"/>
                <c:pt idx="0">
                  <c:v>28.752702283307471</c:v>
                </c:pt>
                <c:pt idx="1">
                  <c:v>21.8041811578364</c:v>
                </c:pt>
                <c:pt idx="2">
                  <c:v>15.144956730658391</c:v>
                </c:pt>
                <c:pt idx="3">
                  <c:v>8.7750290017734436</c:v>
                </c:pt>
                <c:pt idx="4">
                  <c:v>2.6943979711815587</c:v>
                </c:pt>
                <c:pt idx="5">
                  <c:v>-3.0969363611172724</c:v>
                </c:pt>
                <c:pt idx="6">
                  <c:v>-8.598973995123032</c:v>
                </c:pt>
                <c:pt idx="7">
                  <c:v>-13.811714930835741</c:v>
                </c:pt>
                <c:pt idx="8">
                  <c:v>-18.735159168255379</c:v>
                </c:pt>
                <c:pt idx="9">
                  <c:v>-23.369306707381959</c:v>
                </c:pt>
                <c:pt idx="10">
                  <c:v>-27.714157548215482</c:v>
                </c:pt>
                <c:pt idx="11">
                  <c:v>-31.769711690755926</c:v>
                </c:pt>
                <c:pt idx="12">
                  <c:v>-35.535969135003327</c:v>
                </c:pt>
                <c:pt idx="13">
                  <c:v>-39.012929880957657</c:v>
                </c:pt>
                <c:pt idx="14">
                  <c:v>-42.200593928618929</c:v>
                </c:pt>
                <c:pt idx="15">
                  <c:v>-45.098961277987129</c:v>
                </c:pt>
                <c:pt idx="16">
                  <c:v>-47.708031929062287</c:v>
                </c:pt>
                <c:pt idx="17">
                  <c:v>-50.027805881844372</c:v>
                </c:pt>
                <c:pt idx="18">
                  <c:v>-52.058283136333415</c:v>
                </c:pt>
                <c:pt idx="19">
                  <c:v>-53.799463692529372</c:v>
                </c:pt>
                <c:pt idx="20">
                  <c:v>-55.2513475504323</c:v>
                </c:pt>
                <c:pt idx="21">
                  <c:v>-56.413934710042128</c:v>
                </c:pt>
                <c:pt idx="22">
                  <c:v>-57.287225171358912</c:v>
                </c:pt>
                <c:pt idx="23">
                  <c:v>-57.871218934382625</c:v>
                </c:pt>
                <c:pt idx="24">
                  <c:v>-58.165915999113281</c:v>
                </c:pt>
                <c:pt idx="25">
                  <c:v>-58.171316365550865</c:v>
                </c:pt>
                <c:pt idx="26">
                  <c:v>-57.887420033695435</c:v>
                </c:pt>
                <c:pt idx="27">
                  <c:v>-57.314227003546904</c:v>
                </c:pt>
                <c:pt idx="28">
                  <c:v>-56.451737275105316</c:v>
                </c:pt>
                <c:pt idx="29">
                  <c:v>-55.299950848370656</c:v>
                </c:pt>
                <c:pt idx="30">
                  <c:v>-53.858867723342925</c:v>
                </c:pt>
                <c:pt idx="31">
                  <c:v>-52.128487900022179</c:v>
                </c:pt>
                <c:pt idx="32">
                  <c:v>-50.108811378408362</c:v>
                </c:pt>
                <c:pt idx="33">
                  <c:v>-47.79983815850143</c:v>
                </c:pt>
                <c:pt idx="34">
                  <c:v>-46.965892263356238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83-45C0-B5DE-028FD1A90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563968"/>
        <c:axId val="987570856"/>
      </c:scatterChart>
      <c:valAx>
        <c:axId val="987563968"/>
        <c:scaling>
          <c:orientation val="minMax"/>
          <c:max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570856"/>
        <c:crosses val="autoZero"/>
        <c:crossBetween val="midCat"/>
      </c:valAx>
      <c:valAx>
        <c:axId val="98757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563968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4th-order Polynomial</a:t>
            </a:r>
            <a:r>
              <a:rPr lang="en-US" baseline="0"/>
              <a:t> Steady-State Orbital Average Radiator Energy Balance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1U radiator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'Radiator Size Study'!$G$14:$G$46</c:f>
              <c:numCache>
                <c:formatCode>General</c:formatCode>
                <c:ptCount val="33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  <c:pt idx="17">
                  <c:v>285</c:v>
                </c:pt>
                <c:pt idx="18">
                  <c:v>290</c:v>
                </c:pt>
                <c:pt idx="19">
                  <c:v>295</c:v>
                </c:pt>
                <c:pt idx="20">
                  <c:v>300</c:v>
                </c:pt>
                <c:pt idx="21">
                  <c:v>305</c:v>
                </c:pt>
                <c:pt idx="22">
                  <c:v>310</c:v>
                </c:pt>
                <c:pt idx="23">
                  <c:v>315</c:v>
                </c:pt>
                <c:pt idx="24">
                  <c:v>320</c:v>
                </c:pt>
                <c:pt idx="25">
                  <c:v>325</c:v>
                </c:pt>
                <c:pt idx="26">
                  <c:v>330</c:v>
                </c:pt>
                <c:pt idx="27">
                  <c:v>335</c:v>
                </c:pt>
                <c:pt idx="28">
                  <c:v>340</c:v>
                </c:pt>
                <c:pt idx="29">
                  <c:v>345</c:v>
                </c:pt>
                <c:pt idx="30">
                  <c:v>350</c:v>
                </c:pt>
                <c:pt idx="31">
                  <c:v>355</c:v>
                </c:pt>
                <c:pt idx="32">
                  <c:v>360</c:v>
                </c:pt>
              </c:numCache>
            </c:numRef>
          </c:xVal>
          <c:yVal>
            <c:numRef>
              <c:f>'Radiator Size Study'!$I$14:$I$46</c:f>
              <c:numCache>
                <c:formatCode>General</c:formatCode>
                <c:ptCount val="33"/>
                <c:pt idx="0">
                  <c:v>7.7615786977572343</c:v>
                </c:pt>
                <c:pt idx="1">
                  <c:v>7.3190508065289173</c:v>
                </c:pt>
                <c:pt idx="2">
                  <c:v>6.8715084849267534</c:v>
                </c:pt>
                <c:pt idx="3">
                  <c:v>6.4187041681320585</c:v>
                </c:pt>
                <c:pt idx="4">
                  <c:v>5.9603843259088194</c:v>
                </c:pt>
                <c:pt idx="5">
                  <c:v>5.4962894626037047</c:v>
                </c:pt>
                <c:pt idx="6">
                  <c:v>5.026154117146076</c:v>
                </c:pt>
                <c:pt idx="7">
                  <c:v>4.5497068630479509</c:v>
                </c:pt>
                <c:pt idx="8">
                  <c:v>4.066670308404051</c:v>
                </c:pt>
                <c:pt idx="9">
                  <c:v>3.5767610958917766</c:v>
                </c:pt>
                <c:pt idx="10">
                  <c:v>3.0796899027712064</c:v>
                </c:pt>
                <c:pt idx="11">
                  <c:v>2.5751614408851125</c:v>
                </c:pt>
                <c:pt idx="12">
                  <c:v>2.0628744566589114</c:v>
                </c:pt>
                <c:pt idx="13">
                  <c:v>1.5425217311007642</c:v>
                </c:pt>
                <c:pt idx="14">
                  <c:v>1.0137900798014627</c:v>
                </c:pt>
                <c:pt idx="15">
                  <c:v>0.47636035293447931</c:v>
                </c:pt>
                <c:pt idx="16">
                  <c:v>-7.0092564743979152E-2</c:v>
                </c:pt>
                <c:pt idx="17">
                  <c:v>-0.62589975389509211</c:v>
                </c:pt>
                <c:pt idx="18">
                  <c:v>-1.1913982605972906</c:v>
                </c:pt>
                <c:pt idx="19">
                  <c:v>-1.7669310963463705</c:v>
                </c:pt>
                <c:pt idx="20">
                  <c:v>-2.352847238055451</c:v>
                </c:pt>
                <c:pt idx="21">
                  <c:v>-2.949501628054914</c:v>
                </c:pt>
                <c:pt idx="22">
                  <c:v>-3.5572551740925102</c:v>
                </c:pt>
                <c:pt idx="23">
                  <c:v>-4.1764747493333134</c:v>
                </c:pt>
                <c:pt idx="24">
                  <c:v>-4.8075331923596583</c:v>
                </c:pt>
                <c:pt idx="25">
                  <c:v>-5.4508093071712684</c:v>
                </c:pt>
                <c:pt idx="26">
                  <c:v>-6.1066878631851171</c:v>
                </c:pt>
                <c:pt idx="27">
                  <c:v>-6.7755595952355474</c:v>
                </c:pt>
                <c:pt idx="28">
                  <c:v>-7.4578212035742162</c:v>
                </c:pt>
                <c:pt idx="29">
                  <c:v>-8.1538753538700544</c:v>
                </c:pt>
                <c:pt idx="30">
                  <c:v>-8.8641306772093706</c:v>
                </c:pt>
                <c:pt idx="31">
                  <c:v>-9.5890017700957326</c:v>
                </c:pt>
                <c:pt idx="32">
                  <c:v>-10.328909194450066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1E-4B0A-AF62-BAC0414D7991}"/>
            </c:ext>
          </c:extLst>
        </c:ser>
        <c:ser>
          <c:idx val="1"/>
          <c:order val="1"/>
          <c:tx>
            <c:v>2U radiator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'Radiator Size Study'!$G$14:$G$46</c:f>
              <c:numCache>
                <c:formatCode>General</c:formatCode>
                <c:ptCount val="33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  <c:pt idx="17">
                  <c:v>285</c:v>
                </c:pt>
                <c:pt idx="18">
                  <c:v>290</c:v>
                </c:pt>
                <c:pt idx="19">
                  <c:v>295</c:v>
                </c:pt>
                <c:pt idx="20">
                  <c:v>300</c:v>
                </c:pt>
                <c:pt idx="21">
                  <c:v>305</c:v>
                </c:pt>
                <c:pt idx="22">
                  <c:v>310</c:v>
                </c:pt>
                <c:pt idx="23">
                  <c:v>315</c:v>
                </c:pt>
                <c:pt idx="24">
                  <c:v>320</c:v>
                </c:pt>
                <c:pt idx="25">
                  <c:v>325</c:v>
                </c:pt>
                <c:pt idx="26">
                  <c:v>330</c:v>
                </c:pt>
                <c:pt idx="27">
                  <c:v>335</c:v>
                </c:pt>
                <c:pt idx="28">
                  <c:v>340</c:v>
                </c:pt>
                <c:pt idx="29">
                  <c:v>345</c:v>
                </c:pt>
                <c:pt idx="30">
                  <c:v>350</c:v>
                </c:pt>
                <c:pt idx="31">
                  <c:v>355</c:v>
                </c:pt>
                <c:pt idx="32">
                  <c:v>360</c:v>
                </c:pt>
              </c:numCache>
            </c:numRef>
          </c:xVal>
          <c:yVal>
            <c:numRef>
              <c:f>'Radiator Size Study'!$J$14:$J$46</c:f>
              <c:numCache>
                <c:formatCode>General</c:formatCode>
                <c:ptCount val="33"/>
                <c:pt idx="0">
                  <c:v>7.7113718556721977</c:v>
                </c:pt>
                <c:pt idx="1">
                  <c:v>7.2027866614508493</c:v>
                </c:pt>
                <c:pt idx="2">
                  <c:v>6.6841726064818188</c:v>
                </c:pt>
                <c:pt idx="3">
                  <c:v>6.1550345611277235</c:v>
                </c:pt>
                <c:pt idx="4">
                  <c:v>5.6148654649165399</c:v>
                </c:pt>
                <c:pt idx="5">
                  <c:v>5.0631463265416086</c:v>
                </c:pt>
                <c:pt idx="6">
                  <c:v>4.4993462238616386</c:v>
                </c:pt>
                <c:pt idx="7">
                  <c:v>3.9229223039006822</c:v>
                </c:pt>
                <c:pt idx="8">
                  <c:v>3.3333197828481795</c:v>
                </c:pt>
                <c:pt idx="9">
                  <c:v>2.7299719460589262</c:v>
                </c:pt>
                <c:pt idx="10">
                  <c:v>2.1123001480530816</c:v>
                </c:pt>
                <c:pt idx="11">
                  <c:v>1.4797138125161802</c:v>
                </c:pt>
                <c:pt idx="12">
                  <c:v>0.83161043229908271</c:v>
                </c:pt>
                <c:pt idx="13">
                  <c:v>0.16737556941807569</c:v>
                </c:pt>
                <c:pt idx="14">
                  <c:v>-0.51361714494524047</c:v>
                </c:pt>
                <c:pt idx="15">
                  <c:v>-1.212006010443903</c:v>
                </c:pt>
                <c:pt idx="16">
                  <c:v>-1.9284412575655332</c:v>
                </c:pt>
                <c:pt idx="17">
                  <c:v>-2.6635850476324547</c:v>
                </c:pt>
                <c:pt idx="18">
                  <c:v>-3.4181114728015638</c:v>
                </c:pt>
                <c:pt idx="19">
                  <c:v>-4.1927065560644374</c:v>
                </c:pt>
                <c:pt idx="20">
                  <c:v>-4.9880682512472942</c:v>
                </c:pt>
                <c:pt idx="21">
                  <c:v>-5.8049064430109327</c:v>
                </c:pt>
                <c:pt idx="22">
                  <c:v>-6.6439429468508395</c:v>
                </c:pt>
                <c:pt idx="23">
                  <c:v>-7.5059115090971407</c:v>
                </c:pt>
                <c:pt idx="24">
                  <c:v>-8.3915578069145429</c:v>
                </c:pt>
                <c:pt idx="25">
                  <c:v>-9.3016394483024598</c:v>
                </c:pt>
                <c:pt idx="26">
                  <c:v>-10.23692597209487</c:v>
                </c:pt>
                <c:pt idx="27">
                  <c:v>-11.198198847960443</c:v>
                </c:pt>
                <c:pt idx="28">
                  <c:v>-12.186251476402477</c:v>
                </c:pt>
                <c:pt idx="29">
                  <c:v>-13.201889188758866</c:v>
                </c:pt>
                <c:pt idx="30">
                  <c:v>-14.245929247202195</c:v>
                </c:pt>
                <c:pt idx="31">
                  <c:v>-15.319200844739632</c:v>
                </c:pt>
                <c:pt idx="32">
                  <c:v>-16.422545105213011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1E-4B0A-AF62-BAC0414D7991}"/>
            </c:ext>
          </c:extLst>
        </c:ser>
        <c:ser>
          <c:idx val="2"/>
          <c:order val="2"/>
          <c:tx>
            <c:v>3U radiator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'Radiator Size Study'!$G$14:$G$46</c:f>
              <c:numCache>
                <c:formatCode>General</c:formatCode>
                <c:ptCount val="33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  <c:pt idx="17">
                  <c:v>285</c:v>
                </c:pt>
                <c:pt idx="18">
                  <c:v>290</c:v>
                </c:pt>
                <c:pt idx="19">
                  <c:v>295</c:v>
                </c:pt>
                <c:pt idx="20">
                  <c:v>300</c:v>
                </c:pt>
                <c:pt idx="21">
                  <c:v>305</c:v>
                </c:pt>
                <c:pt idx="22">
                  <c:v>310</c:v>
                </c:pt>
                <c:pt idx="23">
                  <c:v>315</c:v>
                </c:pt>
                <c:pt idx="24">
                  <c:v>320</c:v>
                </c:pt>
                <c:pt idx="25">
                  <c:v>325</c:v>
                </c:pt>
                <c:pt idx="26">
                  <c:v>330</c:v>
                </c:pt>
                <c:pt idx="27">
                  <c:v>335</c:v>
                </c:pt>
                <c:pt idx="28">
                  <c:v>340</c:v>
                </c:pt>
                <c:pt idx="29">
                  <c:v>345</c:v>
                </c:pt>
                <c:pt idx="30">
                  <c:v>350</c:v>
                </c:pt>
                <c:pt idx="31">
                  <c:v>355</c:v>
                </c:pt>
                <c:pt idx="32">
                  <c:v>360</c:v>
                </c:pt>
              </c:numCache>
            </c:numRef>
          </c:xVal>
          <c:yVal>
            <c:numRef>
              <c:f>'Radiator Size Study'!$K$14:$K$46</c:f>
              <c:numCache>
                <c:formatCode>General</c:formatCode>
                <c:ptCount val="33"/>
                <c:pt idx="0">
                  <c:v>7.6611650135871612</c:v>
                </c:pt>
                <c:pt idx="1">
                  <c:v>7.0865225163727832</c:v>
                </c:pt>
                <c:pt idx="2">
                  <c:v>6.4968367280368851</c:v>
                </c:pt>
                <c:pt idx="3">
                  <c:v>5.8913649541233903</c:v>
                </c:pt>
                <c:pt idx="4">
                  <c:v>5.2693466039242631</c:v>
                </c:pt>
                <c:pt idx="5">
                  <c:v>4.6300031904795125</c:v>
                </c:pt>
                <c:pt idx="6">
                  <c:v>3.9725383305772004</c:v>
                </c:pt>
                <c:pt idx="7">
                  <c:v>3.2961377447534144</c:v>
                </c:pt>
                <c:pt idx="8">
                  <c:v>2.5999692572923081</c:v>
                </c:pt>
                <c:pt idx="9">
                  <c:v>1.8831827962260759</c:v>
                </c:pt>
                <c:pt idx="10">
                  <c:v>1.1449103933349574</c:v>
                </c:pt>
                <c:pt idx="11">
                  <c:v>0.38426618414724817</c:v>
                </c:pt>
                <c:pt idx="12">
                  <c:v>-0.39965359206074597</c:v>
                </c:pt>
                <c:pt idx="13">
                  <c:v>-1.2077705922646134</c:v>
                </c:pt>
                <c:pt idx="14">
                  <c:v>-2.0410243696919443</c:v>
                </c:pt>
                <c:pt idx="15">
                  <c:v>-2.9003723738222864</c:v>
                </c:pt>
                <c:pt idx="16">
                  <c:v>-3.7867899503870883</c:v>
                </c:pt>
                <c:pt idx="17">
                  <c:v>-4.7012703413698196</c:v>
                </c:pt>
                <c:pt idx="18">
                  <c:v>-5.6448246850058368</c:v>
                </c:pt>
                <c:pt idx="19">
                  <c:v>-6.6184820157825044</c:v>
                </c:pt>
                <c:pt idx="20">
                  <c:v>-7.6232892644391361</c:v>
                </c:pt>
                <c:pt idx="21">
                  <c:v>-8.660311257966951</c:v>
                </c:pt>
                <c:pt idx="22">
                  <c:v>-9.7306307196091701</c:v>
                </c:pt>
                <c:pt idx="23">
                  <c:v>-10.835348268860969</c:v>
                </c:pt>
                <c:pt idx="24">
                  <c:v>-11.975582421469431</c:v>
                </c:pt>
                <c:pt idx="25">
                  <c:v>-13.152469589433654</c:v>
                </c:pt>
                <c:pt idx="26">
                  <c:v>-14.367164081004628</c:v>
                </c:pt>
                <c:pt idx="27">
                  <c:v>-15.62083810068534</c:v>
                </c:pt>
                <c:pt idx="28">
                  <c:v>-16.914681749230741</c:v>
                </c:pt>
                <c:pt idx="29">
                  <c:v>-18.249903023647679</c:v>
                </c:pt>
                <c:pt idx="30">
                  <c:v>-19.627727817195023</c:v>
                </c:pt>
                <c:pt idx="31">
                  <c:v>-21.049399919383529</c:v>
                </c:pt>
                <c:pt idx="32">
                  <c:v>-22.51618101597596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1E-4B0A-AF62-BAC0414D7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009008"/>
        <c:axId val="619009336"/>
      </c:scatterChart>
      <c:valAx>
        <c:axId val="619009008"/>
        <c:scaling>
          <c:orientation val="minMax"/>
          <c:max val="36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Radiator Temperature Guess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009336"/>
        <c:crosses val="autoZero"/>
        <c:crossBetween val="midCat"/>
      </c:valAx>
      <c:valAx>
        <c:axId val="61900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</a:t>
                </a:r>
                <a:r>
                  <a:rPr lang="en-US" baseline="0"/>
                  <a:t> Heat In/Out (W)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00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[1]TEC_Sizing!$E$2</c:f>
          <c:strCache>
            <c:ptCount val="1"/>
            <c:pt idx="0">
              <c:v>Predicted TEC performance for Thot = 28, Imax = 2.5</c:v>
            </c:pt>
          </c:strCache>
        </c:strRef>
      </c:tx>
      <c:layout>
        <c:manualLayout>
          <c:xMode val="edge"/>
          <c:yMode val="edge"/>
          <c:x val="0.14140264563933788"/>
          <c:y val="2.3529339534312594E-2"/>
        </c:manualLayout>
      </c:layout>
      <c:overlay val="1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636057154674744E-2"/>
          <c:y val="0.13367716535433072"/>
          <c:w val="0.65195388050876391"/>
          <c:h val="0.7165830052493436"/>
        </c:manualLayout>
      </c:layout>
      <c:scatterChart>
        <c:scatterStyle val="lineMarker"/>
        <c:varyColors val="0"/>
        <c:ser>
          <c:idx val="0"/>
          <c:order val="0"/>
          <c:tx>
            <c:strRef>
              <c:f>[1]TEC_Sizing!$B$17</c:f>
              <c:strCache>
                <c:ptCount val="1"/>
                <c:pt idx="0">
                  <c:v>DT(Q=0.0000)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[1]TEC_Sizing!$A$88:$A$124</c:f>
              <c:numCache>
                <c:formatCode>General</c:formatCode>
                <c:ptCount val="3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</c:numCache>
            </c:numRef>
          </c:xVal>
          <c:yVal>
            <c:numRef>
              <c:f>[1]TEC_Sizing!$B$88:$B$124</c:f>
              <c:numCache>
                <c:formatCode>General</c:formatCode>
                <c:ptCount val="37"/>
                <c:pt idx="0">
                  <c:v>0.48895824175430036</c:v>
                </c:pt>
                <c:pt idx="1">
                  <c:v>4.0892236811062119</c:v>
                </c:pt>
                <c:pt idx="2">
                  <c:v>7.5033811809229709</c:v>
                </c:pt>
                <c:pt idx="3">
                  <c:v>10.741105456486741</c:v>
                </c:pt>
                <c:pt idx="4">
                  <c:v>13.811734015260367</c:v>
                </c:pt>
                <c:pt idx="5">
                  <c:v>16.724267156887375</c:v>
                </c:pt>
                <c:pt idx="6">
                  <c:v>19.487367973191983</c:v>
                </c:pt>
                <c:pt idx="7">
                  <c:v>22.109362348179086</c:v>
                </c:pt>
                <c:pt idx="8">
                  <c:v>24.598238958034269</c:v>
                </c:pt>
                <c:pt idx="9">
                  <c:v>26.961649271123779</c:v>
                </c:pt>
                <c:pt idx="10">
                  <c:v>29.206907547994575</c:v>
                </c:pt>
                <c:pt idx="11">
                  <c:v>31.340990841374296</c:v>
                </c:pt>
                <c:pt idx="12">
                  <c:v>33.370538996171234</c:v>
                </c:pt>
                <c:pt idx="13">
                  <c:v>35.301854649474407</c:v>
                </c:pt>
                <c:pt idx="14">
                  <c:v>37.140903230553477</c:v>
                </c:pt>
                <c:pt idx="15">
                  <c:v>38.893312960858836</c:v>
                </c:pt>
                <c:pt idx="16">
                  <c:v>40.564374854021509</c:v>
                </c:pt>
                <c:pt idx="17">
                  <c:v>42.159042715853218</c:v>
                </c:pt>
                <c:pt idx="18">
                  <c:v>43.681933144346402</c:v>
                </c:pt>
                <c:pt idx="19">
                  <c:v>45.137325529674143</c:v>
                </c:pt>
                <c:pt idx="20">
                  <c:v>46.529162054190238</c:v>
                </c:pt>
                <c:pt idx="21">
                  <c:v>47.861047692429139</c:v>
                </c:pt>
                <c:pt idx="22">
                  <c:v>49.136250211106017</c:v>
                </c:pt>
                <c:pt idx="23">
                  <c:v>50.357700169116669</c:v>
                </c:pt>
                <c:pt idx="24">
                  <c:v>51.527990917537636</c:v>
                </c:pt>
                <c:pt idx="25">
                  <c:v>52.649378599626132</c:v>
                </c:pt>
                <c:pt idx="26">
                  <c:v>53.723782150819986</c:v>
                </c:pt>
                <c:pt idx="27">
                  <c:v>54.75278329873781</c:v>
                </c:pt>
                <c:pt idx="28">
                  <c:v>55.737626563178864</c:v>
                </c:pt>
                <c:pt idx="29">
                  <c:v>56.679219256123034</c:v>
                </c:pt>
                <c:pt idx="30">
                  <c:v>57.578131481730978</c:v>
                </c:pt>
                <c:pt idx="31">
                  <c:v>58.434596136343998</c:v>
                </c:pt>
                <c:pt idx="32">
                  <c:v>59.248508908484041</c:v>
                </c:pt>
                <c:pt idx="33">
                  <c:v>60.019428278853795</c:v>
                </c:pt>
                <c:pt idx="34">
                  <c:v>60.746575520336634</c:v>
                </c:pt>
                <c:pt idx="35">
                  <c:v>61.42883469799655</c:v>
                </c:pt>
                <c:pt idx="36">
                  <c:v>62.064752669078288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8E-40F5-9726-995B3BBB99FB}"/>
            </c:ext>
          </c:extLst>
        </c:ser>
        <c:ser>
          <c:idx val="1"/>
          <c:order val="1"/>
          <c:tx>
            <c:strRef>
              <c:f>[1]TEC_Sizing!$C$17</c:f>
              <c:strCache>
                <c:ptCount val="1"/>
                <c:pt idx="0">
                  <c:v>DT(Q=1.3043)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[1]TEC_Sizing!$A$88:$A$124</c:f>
              <c:numCache>
                <c:formatCode>General</c:formatCode>
                <c:ptCount val="3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</c:numCache>
            </c:numRef>
          </c:xVal>
          <c:yVal>
            <c:numRef>
              <c:f>[1]TEC_Sizing!$C$88:$C$124</c:f>
              <c:numCache>
                <c:formatCode>General</c:formatCode>
                <c:ptCount val="37"/>
                <c:pt idx="0">
                  <c:v>-7.2133234689933623</c:v>
                </c:pt>
                <c:pt idx="1">
                  <c:v>-4.0076509157439961</c:v>
                </c:pt>
                <c:pt idx="2">
                  <c:v>-0.92292972699314735</c:v>
                </c:pt>
                <c:pt idx="3">
                  <c:v>2.0452848135288697</c:v>
                </c:pt>
                <c:pt idx="4">
                  <c:v>4.901292446708748</c:v>
                </c:pt>
                <c:pt idx="5">
                  <c:v>7.6492479380501948</c:v>
                </c:pt>
                <c:pt idx="6">
                  <c:v>10.293161077673926</c:v>
                </c:pt>
                <c:pt idx="7">
                  <c:v>12.836896680317661</c:v>
                </c:pt>
                <c:pt idx="8">
                  <c:v>15.284174585336139</c:v>
                </c:pt>
                <c:pt idx="9">
                  <c:v>17.638569656701105</c:v>
                </c:pt>
                <c:pt idx="10">
                  <c:v>19.903511783001303</c:v>
                </c:pt>
                <c:pt idx="11">
                  <c:v>22.082285877442509</c:v>
                </c:pt>
                <c:pt idx="12">
                  <c:v>24.178031877847495</c:v>
                </c:pt>
                <c:pt idx="13">
                  <c:v>26.193744746656034</c:v>
                </c:pt>
                <c:pt idx="14">
                  <c:v>28.13227447092493</c:v>
                </c:pt>
                <c:pt idx="15">
                  <c:v>29.99632606232797</c:v>
                </c:pt>
                <c:pt idx="16">
                  <c:v>31.788459557155971</c:v>
                </c:pt>
                <c:pt idx="17">
                  <c:v>33.511090016316771</c:v>
                </c:pt>
                <c:pt idx="18">
                  <c:v>35.166487525335171</c:v>
                </c:pt>
                <c:pt idx="19">
                  <c:v>36.756777194353035</c:v>
                </c:pt>
                <c:pt idx="20">
                  <c:v>38.283939158129215</c:v>
                </c:pt>
                <c:pt idx="21">
                  <c:v>39.749808576039555</c:v>
                </c:pt>
                <c:pt idx="22">
                  <c:v>41.15607563207692</c:v>
                </c:pt>
                <c:pt idx="23">
                  <c:v>42.504285534851221</c:v>
                </c:pt>
                <c:pt idx="24">
                  <c:v>43.795838517589331</c:v>
                </c:pt>
                <c:pt idx="25">
                  <c:v>45.031989838135146</c:v>
                </c:pt>
                <c:pt idx="26">
                  <c:v>46.213849778949552</c:v>
                </c:pt>
                <c:pt idx="27">
                  <c:v>47.342383647110523</c:v>
                </c:pt>
                <c:pt idx="28">
                  <c:v>48.418411774312943</c:v>
                </c:pt>
                <c:pt idx="29">
                  <c:v>49.442609516868757</c:v>
                </c:pt>
                <c:pt idx="30">
                  <c:v>50.415507255706913</c:v>
                </c:pt>
                <c:pt idx="31">
                  <c:v>51.337490396373383</c:v>
                </c:pt>
                <c:pt idx="32">
                  <c:v>52.208799369031112</c:v>
                </c:pt>
                <c:pt idx="33">
                  <c:v>53.029529628460097</c:v>
                </c:pt>
                <c:pt idx="34">
                  <c:v>53.799631654057322</c:v>
                </c:pt>
                <c:pt idx="35">
                  <c:v>54.518910949836766</c:v>
                </c:pt>
                <c:pt idx="36">
                  <c:v>55.187028044429425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8E-40F5-9726-995B3BBB99FB}"/>
            </c:ext>
          </c:extLst>
        </c:ser>
        <c:ser>
          <c:idx val="2"/>
          <c:order val="2"/>
          <c:tx>
            <c:strRef>
              <c:f>[1]TEC_Sizing!$D$17</c:f>
              <c:strCache>
                <c:ptCount val="1"/>
                <c:pt idx="0">
                  <c:v>DT(Q=2.6087)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[1]TEC_Sizing!$A$88:$A$124</c:f>
              <c:numCache>
                <c:formatCode>General</c:formatCode>
                <c:ptCount val="3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</c:numCache>
            </c:numRef>
          </c:xVal>
          <c:yVal>
            <c:numRef>
              <c:f>[1]TEC_Sizing!$D$88:$D$124</c:f>
              <c:numCache>
                <c:formatCode>General</c:formatCode>
                <c:ptCount val="37"/>
                <c:pt idx="0">
                  <c:v>-18.159762890917069</c:v>
                </c:pt>
                <c:pt idx="1">
                  <c:v>-15.082366519845861</c:v>
                </c:pt>
                <c:pt idx="2">
                  <c:v>-12.076961569928464</c:v>
                </c:pt>
                <c:pt idx="3">
                  <c:v>-9.1440689168285925</c:v>
                </c:pt>
                <c:pt idx="4">
                  <c:v>-6.2841441082814242</c:v>
                </c:pt>
                <c:pt idx="5">
                  <c:v>-3.4975773640935977</c:v>
                </c:pt>
                <c:pt idx="6">
                  <c:v>-0.78469357614320501</c:v>
                </c:pt>
                <c:pt idx="7">
                  <c:v>1.8542476916201913</c:v>
                </c:pt>
                <c:pt idx="8">
                  <c:v>4.4190522031755783</c:v>
                </c:pt>
                <c:pt idx="9">
                  <c:v>6.9095910504304747</c:v>
                </c:pt>
                <c:pt idx="10">
                  <c:v>9.325800653220945</c:v>
                </c:pt>
                <c:pt idx="11">
                  <c:v>11.667682759311585</c:v>
                </c:pt>
                <c:pt idx="12">
                  <c:v>13.935304444395545</c:v>
                </c:pt>
                <c:pt idx="13">
                  <c:v>16.128798112094497</c:v>
                </c:pt>
                <c:pt idx="14">
                  <c:v>18.248361493958658</c:v>
                </c:pt>
                <c:pt idx="15">
                  <c:v>20.29425764946679</c:v>
                </c:pt>
                <c:pt idx="16">
                  <c:v>22.266814966026207</c:v>
                </c:pt>
                <c:pt idx="17">
                  <c:v>24.166427158972727</c:v>
                </c:pt>
                <c:pt idx="18">
                  <c:v>25.993553271570729</c:v>
                </c:pt>
                <c:pt idx="19">
                  <c:v>27.74871767501315</c:v>
                </c:pt>
                <c:pt idx="20">
                  <c:v>29.432510068421426</c:v>
                </c:pt>
                <c:pt idx="21">
                  <c:v>31.045585478845563</c:v>
                </c:pt>
                <c:pt idx="22">
                  <c:v>32.5886642612641</c:v>
                </c:pt>
                <c:pt idx="23">
                  <c:v>34.062532098584114</c:v>
                </c:pt>
                <c:pt idx="24">
                  <c:v>35.468040001641228</c:v>
                </c:pt>
                <c:pt idx="25">
                  <c:v>36.806104309199583</c:v>
                </c:pt>
                <c:pt idx="26">
                  <c:v>38.077706687951874</c:v>
                </c:pt>
                <c:pt idx="27">
                  <c:v>39.283894132519336</c:v>
                </c:pt>
                <c:pt idx="28">
                  <c:v>40.425778965451755</c:v>
                </c:pt>
                <c:pt idx="29">
                  <c:v>41.504538837227429</c:v>
                </c:pt>
                <c:pt idx="30">
                  <c:v>42.521416726253221</c:v>
                </c:pt>
                <c:pt idx="31">
                  <c:v>43.47772093886455</c:v>
                </c:pt>
                <c:pt idx="32">
                  <c:v>44.3748251093253</c:v>
                </c:pt>
                <c:pt idx="33">
                  <c:v>45.214168199827967</c:v>
                </c:pt>
                <c:pt idx="34">
                  <c:v>45.997254500493568</c:v>
                </c:pt>
                <c:pt idx="35">
                  <c:v>46.725653629371649</c:v>
                </c:pt>
                <c:pt idx="36">
                  <c:v>47.401000532440278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8E-40F5-9726-995B3BBB99FB}"/>
            </c:ext>
          </c:extLst>
        </c:ser>
        <c:ser>
          <c:idx val="3"/>
          <c:order val="3"/>
          <c:tx>
            <c:strRef>
              <c:f>[1]TEC_Sizing!$E$17</c:f>
              <c:strCache>
                <c:ptCount val="1"/>
                <c:pt idx="0">
                  <c:v>DT(Q=3.9130)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[1]TEC_Sizing!$A$88:$A$124</c:f>
              <c:numCache>
                <c:formatCode>General</c:formatCode>
                <c:ptCount val="3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</c:numCache>
            </c:numRef>
          </c:xVal>
          <c:yVal>
            <c:numRef>
              <c:f>[1]TEC_Sizing!$E$88:$E$124</c:f>
              <c:numCache>
                <c:formatCode>General</c:formatCode>
                <c:ptCount val="37"/>
                <c:pt idx="0">
                  <c:v>-26.066480565829622</c:v>
                </c:pt>
                <c:pt idx="1">
                  <c:v>-22.91821414238002</c:v>
                </c:pt>
                <c:pt idx="2">
                  <c:v>-19.852657940283017</c:v>
                </c:pt>
                <c:pt idx="3">
                  <c:v>-16.869106004159125</c:v>
                </c:pt>
                <c:pt idx="4">
                  <c:v>-13.966844227111352</c:v>
                </c:pt>
                <c:pt idx="5">
                  <c:v>-11.145150350725221</c:v>
                </c:pt>
                <c:pt idx="6">
                  <c:v>-8.4032939650687624</c:v>
                </c:pt>
                <c:pt idx="7">
                  <c:v>-5.7405365086925073</c:v>
                </c:pt>
                <c:pt idx="8">
                  <c:v>-3.1561312686295047</c:v>
                </c:pt>
                <c:pt idx="9">
                  <c:v>-0.64932338039530535</c:v>
                </c:pt>
                <c:pt idx="10">
                  <c:v>1.7806501720120345</c:v>
                </c:pt>
                <c:pt idx="11">
                  <c:v>4.1345605561119427</c:v>
                </c:pt>
                <c:pt idx="12">
                  <c:v>6.4131870909413493</c:v>
                </c:pt>
                <c:pt idx="13">
                  <c:v>8.6173172470546788</c:v>
                </c:pt>
                <c:pt idx="14">
                  <c:v>10.747746646523822</c:v>
                </c:pt>
                <c:pt idx="15">
                  <c:v>12.805279062938205</c:v>
                </c:pt>
                <c:pt idx="16">
                  <c:v>14.790726421404706</c:v>
                </c:pt>
                <c:pt idx="17">
                  <c:v>16.704908798547706</c:v>
                </c:pt>
                <c:pt idx="18">
                  <c:v>18.548654422509102</c:v>
                </c:pt>
                <c:pt idx="19">
                  <c:v>20.322799672948264</c:v>
                </c:pt>
                <c:pt idx="20">
                  <c:v>22.028189081042044</c:v>
                </c:pt>
                <c:pt idx="21">
                  <c:v>23.665675329484799</c:v>
                </c:pt>
                <c:pt idx="22">
                  <c:v>25.236119252488393</c:v>
                </c:pt>
                <c:pt idx="23">
                  <c:v>26.74038983578216</c:v>
                </c:pt>
                <c:pt idx="24">
                  <c:v>28.179364216612939</c:v>
                </c:pt>
                <c:pt idx="25">
                  <c:v>29.553927683745044</c:v>
                </c:pt>
                <c:pt idx="26">
                  <c:v>30.864973677460306</c:v>
                </c:pt>
                <c:pt idx="27">
                  <c:v>32.113403789558021</c:v>
                </c:pt>
                <c:pt idx="28">
                  <c:v>33.300127763355007</c:v>
                </c:pt>
                <c:pt idx="29">
                  <c:v>34.426063493685554</c:v>
                </c:pt>
                <c:pt idx="30">
                  <c:v>35.492137026901453</c:v>
                </c:pt>
                <c:pt idx="31">
                  <c:v>36.499282560871976</c:v>
                </c:pt>
                <c:pt idx="32">
                  <c:v>37.448442444983897</c:v>
                </c:pt>
                <c:pt idx="33">
                  <c:v>38.340567180141491</c:v>
                </c:pt>
                <c:pt idx="34">
                  <c:v>39.176615418766488</c:v>
                </c:pt>
                <c:pt idx="35">
                  <c:v>39.957553964798166</c:v>
                </c:pt>
                <c:pt idx="36">
                  <c:v>40.684357773693279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8E-40F5-9726-995B3BBB99FB}"/>
            </c:ext>
          </c:extLst>
        </c:ser>
        <c:ser>
          <c:idx val="4"/>
          <c:order val="4"/>
          <c:tx>
            <c:strRef>
              <c:f>[1]TEC_Sizing!$F$17</c:f>
              <c:strCache>
                <c:ptCount val="1"/>
                <c:pt idx="0">
                  <c:v>DT(Q=5.2174)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[1]TEC_Sizing!$A$88:$A$124</c:f>
              <c:numCache>
                <c:formatCode>General</c:formatCode>
                <c:ptCount val="3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</c:numCache>
            </c:numRef>
          </c:xVal>
          <c:yVal>
            <c:numRef>
              <c:f>[1]TEC_Sizing!$F$88:$F$124</c:f>
              <c:numCache>
                <c:formatCode>General</c:formatCode>
                <c:ptCount val="37"/>
                <c:pt idx="0">
                  <c:v>-45.515559749427652</c:v>
                </c:pt>
                <c:pt idx="1">
                  <c:v>-40.952465100567423</c:v>
                </c:pt>
                <c:pt idx="2">
                  <c:v>-36.600389135292353</c:v>
                </c:pt>
                <c:pt idx="3">
                  <c:v>-32.450687098542119</c:v>
                </c:pt>
                <c:pt idx="4">
                  <c:v>-28.494950119793792</c:v>
                </c:pt>
                <c:pt idx="5">
                  <c:v>-24.725005213061905</c:v>
                </c:pt>
                <c:pt idx="6">
                  <c:v>-21.132915276898416</c:v>
                </c:pt>
                <c:pt idx="7">
                  <c:v>-17.710979094392719</c:v>
                </c:pt>
                <c:pt idx="8">
                  <c:v>-14.451731333171651</c:v>
                </c:pt>
                <c:pt idx="9">
                  <c:v>-11.347942545399462</c:v>
                </c:pt>
                <c:pt idx="10">
                  <c:v>-8.3926191677778661</c:v>
                </c:pt>
                <c:pt idx="11">
                  <c:v>-5.5790035215459923</c:v>
                </c:pt>
                <c:pt idx="12">
                  <c:v>-2.9005738124804026</c:v>
                </c:pt>
                <c:pt idx="13">
                  <c:v>-0.35104413089511866</c:v>
                </c:pt>
                <c:pt idx="14">
                  <c:v>2.0756355483584343</c:v>
                </c:pt>
                <c:pt idx="15">
                  <c:v>4.385279365891364</c:v>
                </c:pt>
                <c:pt idx="16">
                  <c:v>6.5834655777773676</c:v>
                </c:pt>
                <c:pt idx="17">
                  <c:v>8.6755365555527035</c:v>
                </c:pt>
                <c:pt idx="18">
                  <c:v>10.666598786216177</c:v>
                </c:pt>
                <c:pt idx="19">
                  <c:v>12.56152287222919</c:v>
                </c:pt>
                <c:pt idx="20">
                  <c:v>14.364943531515678</c:v>
                </c:pt>
                <c:pt idx="21">
                  <c:v>16.081259597462171</c:v>
                </c:pt>
                <c:pt idx="22">
                  <c:v>17.714634018917735</c:v>
                </c:pt>
                <c:pt idx="23">
                  <c:v>19.268993860194016</c:v>
                </c:pt>
                <c:pt idx="24">
                  <c:v>20.748030301065214</c:v>
                </c:pt>
                <c:pt idx="25">
                  <c:v>22.15519863676812</c:v>
                </c:pt>
                <c:pt idx="26">
                  <c:v>23.493718278002063</c:v>
                </c:pt>
                <c:pt idx="27">
                  <c:v>24.766572750928944</c:v>
                </c:pt>
                <c:pt idx="28">
                  <c:v>25.976509697173228</c:v>
                </c:pt>
                <c:pt idx="29">
                  <c:v>27.126040873821964</c:v>
                </c:pt>
                <c:pt idx="30">
                  <c:v>28.217442153424741</c:v>
                </c:pt>
                <c:pt idx="31">
                  <c:v>29.252753523993718</c:v>
                </c:pt>
                <c:pt idx="32">
                  <c:v>30.233779089003619</c:v>
                </c:pt>
                <c:pt idx="33">
                  <c:v>31.162087067391752</c:v>
                </c:pt>
                <c:pt idx="34">
                  <c:v>32.03900979355798</c:v>
                </c:pt>
                <c:pt idx="35">
                  <c:v>32.865643717364676</c:v>
                </c:pt>
                <c:pt idx="36">
                  <c:v>33.642849404136882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08E-40F5-9726-995B3BBB99FB}"/>
            </c:ext>
          </c:extLst>
        </c:ser>
        <c:ser>
          <c:idx val="5"/>
          <c:order val="5"/>
          <c:tx>
            <c:strRef>
              <c:f>[1]TEC_Sizing!$G$17</c:f>
              <c:strCache>
                <c:ptCount val="1"/>
                <c:pt idx="0">
                  <c:v>DT(Q=6.5217)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[1]TEC_Sizing!$A$88:$A$124</c:f>
              <c:numCache>
                <c:formatCode>General</c:formatCode>
                <c:ptCount val="3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</c:numCache>
            </c:numRef>
          </c:xVal>
          <c:yVal>
            <c:numRef>
              <c:f>[1]TEC_Sizing!$G$88:$G$124</c:f>
              <c:numCache>
                <c:formatCode>General</c:formatCode>
                <c:ptCount val="37"/>
                <c:pt idx="0">
                  <c:v>-97.203383358127752</c:v>
                </c:pt>
                <c:pt idx="1">
                  <c:v>-87.606230564590405</c:v>
                </c:pt>
                <c:pt idx="2">
                  <c:v>-78.648505287852444</c:v>
                </c:pt>
                <c:pt idx="3">
                  <c:v>-70.297469024732322</c:v>
                </c:pt>
                <c:pt idx="4">
                  <c:v>-62.521287465231723</c:v>
                </c:pt>
                <c:pt idx="5">
                  <c:v>-55.289030492535545</c:v>
                </c:pt>
                <c:pt idx="6">
                  <c:v>-48.570672183011879</c:v>
                </c:pt>
                <c:pt idx="7">
                  <c:v>-42.337090806212011</c:v>
                </c:pt>
                <c:pt idx="8">
                  <c:v>-36.56006882487047</c:v>
                </c:pt>
                <c:pt idx="9">
                  <c:v>-31.212292894904976</c:v>
                </c:pt>
                <c:pt idx="10">
                  <c:v>-26.267353865416439</c:v>
                </c:pt>
                <c:pt idx="11">
                  <c:v>-21.69974677868899</c:v>
                </c:pt>
                <c:pt idx="12">
                  <c:v>-17.484870870189994</c:v>
                </c:pt>
                <c:pt idx="13">
                  <c:v>-13.599029568569961</c:v>
                </c:pt>
                <c:pt idx="14">
                  <c:v>-10.019430495662675</c:v>
                </c:pt>
                <c:pt idx="15">
                  <c:v>-6.7241854664851246</c:v>
                </c:pt>
                <c:pt idx="16">
                  <c:v>-3.6923104892374283</c:v>
                </c:pt>
                <c:pt idx="17">
                  <c:v>-0.90372576530296556</c:v>
                </c:pt>
                <c:pt idx="18">
                  <c:v>1.6607443107516389</c:v>
                </c:pt>
                <c:pt idx="19">
                  <c:v>4.0193711511766139</c:v>
                </c:pt>
                <c:pt idx="20">
                  <c:v>6.1895219750389572</c:v>
                </c:pt>
                <c:pt idx="21">
                  <c:v>8.1876598082224632</c:v>
                </c:pt>
                <c:pt idx="22">
                  <c:v>10.029343483427652</c:v>
                </c:pt>
                <c:pt idx="23">
                  <c:v>11.729227640172041</c:v>
                </c:pt>
                <c:pt idx="24">
                  <c:v>13.301062724789631</c:v>
                </c:pt>
                <c:pt idx="25">
                  <c:v>14.757694990431531</c:v>
                </c:pt>
                <c:pt idx="26">
                  <c:v>16.111066497065423</c:v>
                </c:pt>
                <c:pt idx="27">
                  <c:v>17.372215111475839</c:v>
                </c:pt>
                <c:pt idx="28">
                  <c:v>18.551274507264168</c:v>
                </c:pt>
                <c:pt idx="29">
                  <c:v>19.657474164848509</c:v>
                </c:pt>
                <c:pt idx="30">
                  <c:v>20.699139371463758</c:v>
                </c:pt>
                <c:pt idx="31">
                  <c:v>21.683691221161638</c:v>
                </c:pt>
                <c:pt idx="32">
                  <c:v>22.617646614810752</c:v>
                </c:pt>
                <c:pt idx="33">
                  <c:v>23.506618260096246</c:v>
                </c:pt>
                <c:pt idx="34">
                  <c:v>24.355314671520347</c:v>
                </c:pt>
                <c:pt idx="35">
                  <c:v>25.167540170401793</c:v>
                </c:pt>
                <c:pt idx="36">
                  <c:v>25.946194884876462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08E-40F5-9726-995B3BBB99FB}"/>
            </c:ext>
          </c:extLst>
        </c:ser>
        <c:ser>
          <c:idx val="6"/>
          <c:order val="6"/>
          <c:tx>
            <c:strRef>
              <c:f>[1]TEC_Sizing!$H$17</c:f>
              <c:strCache>
                <c:ptCount val="1"/>
                <c:pt idx="0">
                  <c:v>DT(Q=7.8261)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[1]TEC_Sizing!$A$88:$A$124</c:f>
              <c:numCache>
                <c:formatCode>General</c:formatCode>
                <c:ptCount val="3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</c:numCache>
            </c:numRef>
          </c:xVal>
          <c:yVal>
            <c:numRef>
              <c:f>[1]TEC_Sizing!$H$88:$H$124</c:f>
              <c:numCache>
                <c:formatCode>General</c:formatCode>
                <c:ptCount val="37"/>
                <c:pt idx="0">
                  <c:v>-88.047117454985226</c:v>
                </c:pt>
                <c:pt idx="1">
                  <c:v>-80.906275791811865</c:v>
                </c:pt>
                <c:pt idx="2">
                  <c:v>-74.145037370942688</c:v>
                </c:pt>
                <c:pt idx="3">
                  <c:v>-67.748106746580305</c:v>
                </c:pt>
                <c:pt idx="4">
                  <c:v>-61.700525070389688</c:v>
                </c:pt>
                <c:pt idx="5">
                  <c:v>-55.987670091498174</c:v>
                </c:pt>
                <c:pt idx="6">
                  <c:v>-50.595256156495466</c:v>
                </c:pt>
                <c:pt idx="7">
                  <c:v>-45.509334209433618</c:v>
                </c:pt>
                <c:pt idx="8">
                  <c:v>-40.716291791827047</c:v>
                </c:pt>
                <c:pt idx="9">
                  <c:v>-36.202853042652535</c:v>
                </c:pt>
                <c:pt idx="10">
                  <c:v>-31.956078698349231</c:v>
                </c:pt>
                <c:pt idx="11">
                  <c:v>-27.963366092818632</c:v>
                </c:pt>
                <c:pt idx="12">
                  <c:v>-24.212449157424608</c:v>
                </c:pt>
                <c:pt idx="13">
                  <c:v>-20.691398420993394</c:v>
                </c:pt>
                <c:pt idx="14">
                  <c:v>-17.38862100981359</c:v>
                </c:pt>
                <c:pt idx="15">
                  <c:v>-14.292860647636132</c:v>
                </c:pt>
                <c:pt idx="16">
                  <c:v>-11.393197655674328</c:v>
                </c:pt>
                <c:pt idx="17">
                  <c:v>-8.6790489526038783</c:v>
                </c:pt>
                <c:pt idx="18">
                  <c:v>-6.1401680545628068</c:v>
                </c:pt>
                <c:pt idx="19">
                  <c:v>-3.7666450751515299</c:v>
                </c:pt>
                <c:pt idx="20">
                  <c:v>-1.5489067254328006</c:v>
                </c:pt>
                <c:pt idx="21">
                  <c:v>0.52228368606827758</c:v>
                </c:pt>
                <c:pt idx="22">
                  <c:v>2.4558262533641653</c:v>
                </c:pt>
                <c:pt idx="23">
                  <c:v>4.2602844730050577</c:v>
                </c:pt>
                <c:pt idx="24">
                  <c:v>5.9438852440787002</c:v>
                </c:pt>
                <c:pt idx="25">
                  <c:v>7.5145188682106152</c:v>
                </c:pt>
                <c:pt idx="26">
                  <c:v>8.9797390495637615</c:v>
                </c:pt>
                <c:pt idx="27">
                  <c:v>10.346762894838918</c:v>
                </c:pt>
                <c:pt idx="28">
                  <c:v>11.622470913274398</c:v>
                </c:pt>
                <c:pt idx="29">
                  <c:v>12.813407016646181</c:v>
                </c:pt>
                <c:pt idx="30">
                  <c:v>13.925778519267865</c:v>
                </c:pt>
                <c:pt idx="31">
                  <c:v>14.96545613799077</c:v>
                </c:pt>
                <c:pt idx="32">
                  <c:v>15.937973992203695</c:v>
                </c:pt>
                <c:pt idx="33">
                  <c:v>16.848529603833271</c:v>
                </c:pt>
                <c:pt idx="34">
                  <c:v>17.701983897343609</c:v>
                </c:pt>
                <c:pt idx="35">
                  <c:v>18.502861199736572</c:v>
                </c:pt>
                <c:pt idx="36">
                  <c:v>19.25534924055151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08E-40F5-9726-995B3BBB99FB}"/>
            </c:ext>
          </c:extLst>
        </c:ser>
        <c:ser>
          <c:idx val="7"/>
          <c:order val="7"/>
          <c:tx>
            <c:strRef>
              <c:f>[1]TEC_Sizing!$I$17</c:f>
              <c:strCache>
                <c:ptCount val="1"/>
                <c:pt idx="0">
                  <c:v>DT(Q=9.1304)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[1]TEC_Sizing!$A$88:$A$124</c:f>
              <c:numCache>
                <c:formatCode>General</c:formatCode>
                <c:ptCount val="3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</c:numCache>
            </c:numRef>
          </c:xVal>
          <c:yVal>
            <c:numRef>
              <c:f>[1]TEC_Sizing!$I$88:$I$124</c:f>
              <c:numCache>
                <c:formatCode>General</c:formatCode>
                <c:ptCount val="37"/>
                <c:pt idx="0">
                  <c:v>-170.59783988943036</c:v>
                </c:pt>
                <c:pt idx="1">
                  <c:v>-157.06937623588419</c:v>
                </c:pt>
                <c:pt idx="2">
                  <c:v>-144.34287317795258</c:v>
                </c:pt>
                <c:pt idx="3">
                  <c:v>-132.38333081283625</c:v>
                </c:pt>
                <c:pt idx="4">
                  <c:v>-121.15657203153282</c:v>
                </c:pt>
                <c:pt idx="5">
                  <c:v>-110.62924251883673</c:v>
                </c:pt>
                <c:pt idx="6">
                  <c:v>-100.76881075333937</c:v>
                </c:pt>
                <c:pt idx="7">
                  <c:v>-91.543568007428959</c:v>
                </c:pt>
                <c:pt idx="8">
                  <c:v>-82.92262834729064</c:v>
                </c:pt>
                <c:pt idx="9">
                  <c:v>-74.875928632906422</c:v>
                </c:pt>
                <c:pt idx="10">
                  <c:v>-67.374228518055219</c:v>
                </c:pt>
                <c:pt idx="11">
                  <c:v>-60.389110450312785</c:v>
                </c:pt>
                <c:pt idx="12">
                  <c:v>-53.892979671051819</c:v>
                </c:pt>
                <c:pt idx="13">
                  <c:v>-47.859064215441862</c:v>
                </c:pt>
                <c:pt idx="14">
                  <c:v>-42.261414912449339</c:v>
                </c:pt>
                <c:pt idx="15">
                  <c:v>-37.074905384837592</c:v>
                </c:pt>
                <c:pt idx="16">
                  <c:v>-32.275232049166817</c:v>
                </c:pt>
                <c:pt idx="17">
                  <c:v>-27.838914115794097</c:v>
                </c:pt>
                <c:pt idx="18">
                  <c:v>-23.743293588873428</c:v>
                </c:pt>
                <c:pt idx="19">
                  <c:v>-19.966535266355663</c:v>
                </c:pt>
                <c:pt idx="20">
                  <c:v>-16.487626739988542</c:v>
                </c:pt>
                <c:pt idx="21">
                  <c:v>-13.28637839531666</c:v>
                </c:pt>
                <c:pt idx="22">
                  <c:v>-10.343423411681613</c:v>
                </c:pt>
                <c:pt idx="23">
                  <c:v>-7.6402177622217096</c:v>
                </c:pt>
                <c:pt idx="24">
                  <c:v>-5.1590402138723164</c:v>
                </c:pt>
                <c:pt idx="25">
                  <c:v>-2.8829923273654856</c:v>
                </c:pt>
                <c:pt idx="26">
                  <c:v>-0.79599845723038243</c:v>
                </c:pt>
                <c:pt idx="27">
                  <c:v>1.1171942482071415</c:v>
                </c:pt>
                <c:pt idx="28">
                  <c:v>2.8710158468242071</c:v>
                </c:pt>
                <c:pt idx="29">
                  <c:v>4.4790736027011349</c:v>
                </c:pt>
                <c:pt idx="30">
                  <c:v>5.9541519861213033</c:v>
                </c:pt>
                <c:pt idx="31">
                  <c:v>7.3082126735713189</c:v>
                </c:pt>
                <c:pt idx="32">
                  <c:v>8.5523945477406755</c:v>
                </c:pt>
                <c:pt idx="33">
                  <c:v>9.6970136975223227</c:v>
                </c:pt>
                <c:pt idx="34">
                  <c:v>10.751563418011983</c:v>
                </c:pt>
                <c:pt idx="35">
                  <c:v>11.724714210508694</c:v>
                </c:pt>
                <c:pt idx="36">
                  <c:v>12.624313782514662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08E-40F5-9726-995B3BBB99FB}"/>
            </c:ext>
          </c:extLst>
        </c:ser>
        <c:ser>
          <c:idx val="8"/>
          <c:order val="8"/>
          <c:tx>
            <c:strRef>
              <c:f>[1]TEC_Sizing!$J$17</c:f>
              <c:strCache>
                <c:ptCount val="1"/>
                <c:pt idx="0">
                  <c:v>DT(Q=10.4348)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[1]TEC_Sizing!$A$88:$A$124</c:f>
              <c:numCache>
                <c:formatCode>General</c:formatCode>
                <c:ptCount val="3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</c:numCache>
            </c:numRef>
          </c:xVal>
          <c:yVal>
            <c:numRef>
              <c:f>[1]TEC_Sizing!$J$88:$J$124</c:f>
              <c:numCache>
                <c:formatCode>General</c:formatCode>
                <c:ptCount val="37"/>
                <c:pt idx="0">
                  <c:v>-974.87022644615956</c:v>
                </c:pt>
                <c:pt idx="1">
                  <c:v>-887.21321556581597</c:v>
                </c:pt>
                <c:pt idx="2">
                  <c:v>-805.6294431396251</c:v>
                </c:pt>
                <c:pt idx="3">
                  <c:v>-729.82912804893908</c:v>
                </c:pt>
                <c:pt idx="4">
                  <c:v>-659.52958764159393</c:v>
                </c:pt>
                <c:pt idx="5">
                  <c:v>-594.45523773190996</c:v>
                </c:pt>
                <c:pt idx="6">
                  <c:v>-534.33759260069132</c:v>
                </c:pt>
                <c:pt idx="7">
                  <c:v>-478.91526499522598</c:v>
                </c:pt>
                <c:pt idx="8">
                  <c:v>-427.93396612928655</c:v>
                </c:pt>
                <c:pt idx="9">
                  <c:v>-381.14650568312902</c:v>
                </c:pt>
                <c:pt idx="10">
                  <c:v>-338.31279180349395</c:v>
                </c:pt>
                <c:pt idx="11">
                  <c:v>-299.19983110360556</c:v>
                </c:pt>
                <c:pt idx="12">
                  <c:v>-263.5817286631725</c:v>
                </c:pt>
                <c:pt idx="13">
                  <c:v>-231.23968802838681</c:v>
                </c:pt>
                <c:pt idx="14">
                  <c:v>-201.96201121192519</c:v>
                </c:pt>
                <c:pt idx="15">
                  <c:v>-175.54409869294818</c:v>
                </c:pt>
                <c:pt idx="16">
                  <c:v>-151.7884494171002</c:v>
                </c:pt>
                <c:pt idx="17">
                  <c:v>-130.50466079650982</c:v>
                </c:pt>
                <c:pt idx="18">
                  <c:v>-111.50942870978997</c:v>
                </c:pt>
                <c:pt idx="19">
                  <c:v>-94.626547502036715</c:v>
                </c:pt>
                <c:pt idx="20">
                  <c:v>-79.686909984831232</c:v>
                </c:pt>
                <c:pt idx="21">
                  <c:v>-66.528507436238328</c:v>
                </c:pt>
                <c:pt idx="22">
                  <c:v>-54.996429600805982</c:v>
                </c:pt>
                <c:pt idx="23">
                  <c:v>-44.942864689568182</c:v>
                </c:pt>
                <c:pt idx="24">
                  <c:v>-36.227099380040613</c:v>
                </c:pt>
                <c:pt idx="25">
                  <c:v>-28.715518816224517</c:v>
                </c:pt>
                <c:pt idx="26">
                  <c:v>-22.281606608604875</c:v>
                </c:pt>
                <c:pt idx="27">
                  <c:v>-16.805944834150409</c:v>
                </c:pt>
                <c:pt idx="28">
                  <c:v>-12.176214036314491</c:v>
                </c:pt>
                <c:pt idx="29">
                  <c:v>-8.2871932250344571</c:v>
                </c:pt>
                <c:pt idx="30">
                  <c:v>-5.0407598767297941</c:v>
                </c:pt>
                <c:pt idx="31">
                  <c:v>-2.3458899343069106</c:v>
                </c:pt>
                <c:pt idx="32">
                  <c:v>-0.11865780715459096</c:v>
                </c:pt>
                <c:pt idx="33">
                  <c:v>1.7177636288544136</c:v>
                </c:pt>
                <c:pt idx="34">
                  <c:v>3.2331030313620204</c:v>
                </c:pt>
                <c:pt idx="35">
                  <c:v>4.4899905915279987</c:v>
                </c:pt>
                <c:pt idx="36">
                  <c:v>5.5439580340261045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08E-40F5-9726-995B3BBB99FB}"/>
            </c:ext>
          </c:extLst>
        </c:ser>
        <c:ser>
          <c:idx val="9"/>
          <c:order val="9"/>
          <c:tx>
            <c:strRef>
              <c:f>[1]TEC_Sizing!$K$17</c:f>
              <c:strCache>
                <c:ptCount val="1"/>
                <c:pt idx="0">
                  <c:v>DT(Q=11.7391)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[1]TEC_Sizing!$A$88:$A$114</c:f>
              <c:numCache>
                <c:formatCode>General</c:formatCode>
                <c:ptCount val="2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</c:numCache>
            </c:numRef>
          </c:xVal>
          <c:yVal>
            <c:numRef>
              <c:f>[1]TEC_Sizing!$K$88:$K$114</c:f>
              <c:numCache>
                <c:formatCode>General</c:formatCode>
                <c:ptCount val="27"/>
                <c:pt idx="0">
                  <c:v>-76.378405426442953</c:v>
                </c:pt>
                <c:pt idx="1">
                  <c:v>-73.313718924242821</c:v>
                </c:pt>
                <c:pt idx="2">
                  <c:v>-70.306334132897163</c:v>
                </c:pt>
                <c:pt idx="3">
                  <c:v>-67.35625105240598</c:v>
                </c:pt>
                <c:pt idx="4">
                  <c:v>-64.463469682769272</c:v>
                </c:pt>
                <c:pt idx="5">
                  <c:v>-61.627990023987039</c:v>
                </c:pt>
                <c:pt idx="6">
                  <c:v>-58.84981207605928</c:v>
                </c:pt>
                <c:pt idx="7">
                  <c:v>-56.128935838985996</c:v>
                </c:pt>
                <c:pt idx="8">
                  <c:v>-53.465361312767186</c:v>
                </c:pt>
                <c:pt idx="9">
                  <c:v>-50.859088497402851</c:v>
                </c:pt>
                <c:pt idx="10">
                  <c:v>-48.310117392892991</c:v>
                </c:pt>
                <c:pt idx="11">
                  <c:v>-45.818447999237605</c:v>
                </c:pt>
                <c:pt idx="12">
                  <c:v>-43.384080316436687</c:v>
                </c:pt>
                <c:pt idx="13">
                  <c:v>-41.007014344490244</c:v>
                </c:pt>
                <c:pt idx="14">
                  <c:v>-38.687250083398283</c:v>
                </c:pt>
                <c:pt idx="15">
                  <c:v>-36.424787533160789</c:v>
                </c:pt>
                <c:pt idx="16">
                  <c:v>-34.219626693777769</c:v>
                </c:pt>
                <c:pt idx="17">
                  <c:v>-32.071767565249225</c:v>
                </c:pt>
                <c:pt idx="18">
                  <c:v>-29.981210147575148</c:v>
                </c:pt>
                <c:pt idx="19">
                  <c:v>-27.947954440755552</c:v>
                </c:pt>
                <c:pt idx="20">
                  <c:v>-25.972000444790439</c:v>
                </c:pt>
                <c:pt idx="21">
                  <c:v>-24.053348159679793</c:v>
                </c:pt>
                <c:pt idx="22">
                  <c:v>-22.191997585423614</c:v>
                </c:pt>
                <c:pt idx="23">
                  <c:v>-20.387948722021925</c:v>
                </c:pt>
                <c:pt idx="24">
                  <c:v>-18.641201569474696</c:v>
                </c:pt>
                <c:pt idx="25">
                  <c:v>-16.951756127781955</c:v>
                </c:pt>
                <c:pt idx="26">
                  <c:v>-15.319612396943668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08E-40F5-9726-995B3BBB9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231704"/>
        <c:axId val="1"/>
      </c:scatterChart>
      <c:valAx>
        <c:axId val="618231704"/>
        <c:scaling>
          <c:orientation val="minMax"/>
          <c:max val="1.8"/>
          <c:min val="0"/>
        </c:scaling>
        <c:delete val="0"/>
        <c:axPos val="b"/>
        <c:minorGridlines>
          <c:spPr>
            <a:ln>
              <a:solidFill>
                <a:srgbClr val="000000"/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Current (Amps)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0.30000000000000004"/>
        <c:minorUnit val="0.1"/>
      </c:valAx>
      <c:valAx>
        <c:axId val="1"/>
        <c:scaling>
          <c:orientation val="minMax"/>
          <c:max val="8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Achieved DT (C)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8231704"/>
        <c:crosses val="autoZero"/>
        <c:crossBetween val="midCat"/>
        <c:majorUnit val="10"/>
        <c:min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304705314118185"/>
          <c:y val="0.22938189743825882"/>
          <c:w val="0.19370872506842496"/>
          <c:h val="0.543815444122116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Generic Marlow TEC Performance for Varying Q/QMax</a:t>
            </a:r>
          </a:p>
        </c:rich>
      </c:tx>
      <c:layout>
        <c:manualLayout>
          <c:xMode val="edge"/>
          <c:yMode val="edge"/>
          <c:x val="0.15728494203125271"/>
          <c:y val="3.35050939791216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54976390289015"/>
          <c:y val="0.14433007854038959"/>
          <c:w val="0.77814632442758314"/>
          <c:h val="0.67525858174253706"/>
        </c:manualLayout>
      </c:layout>
      <c:scatterChart>
        <c:scatterStyle val="smoothMarker"/>
        <c:varyColors val="0"/>
        <c:ser>
          <c:idx val="0"/>
          <c:order val="0"/>
          <c:tx>
            <c:v>0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8B2-42D5-86A5-7DC79908DCC9}"/>
            </c:ext>
          </c:extLst>
        </c:ser>
        <c:ser>
          <c:idx val="1"/>
          <c:order val="1"/>
          <c:tx>
            <c:v>0.1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8B2-42D5-86A5-7DC79908DCC9}"/>
            </c:ext>
          </c:extLst>
        </c:ser>
        <c:ser>
          <c:idx val="2"/>
          <c:order val="2"/>
          <c:tx>
            <c:v>0.2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E8B2-42D5-86A5-7DC79908DCC9}"/>
            </c:ext>
          </c:extLst>
        </c:ser>
        <c:ser>
          <c:idx val="3"/>
          <c:order val="3"/>
          <c:tx>
            <c:v>0.3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E8B2-42D5-86A5-7DC79908DCC9}"/>
            </c:ext>
          </c:extLst>
        </c:ser>
        <c:ser>
          <c:idx val="4"/>
          <c:order val="4"/>
          <c:tx>
            <c:v>0.4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E8B2-42D5-86A5-7DC79908DCC9}"/>
            </c:ext>
          </c:extLst>
        </c:ser>
        <c:ser>
          <c:idx val="5"/>
          <c:order val="5"/>
          <c:tx>
            <c:v>0.5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E8B2-42D5-86A5-7DC79908DCC9}"/>
            </c:ext>
          </c:extLst>
        </c:ser>
        <c:ser>
          <c:idx val="6"/>
          <c:order val="6"/>
          <c:tx>
            <c:v>0.6</c:v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E8B2-42D5-86A5-7DC79908DCC9}"/>
            </c:ext>
          </c:extLst>
        </c:ser>
        <c:ser>
          <c:idx val="7"/>
          <c:order val="7"/>
          <c:tx>
            <c:v>0.7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E8B2-42D5-86A5-7DC79908DCC9}"/>
            </c:ext>
          </c:extLst>
        </c:ser>
        <c:ser>
          <c:idx val="8"/>
          <c:order val="8"/>
          <c:tx>
            <c:v>0.8</c:v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E8B2-42D5-86A5-7DC79908DCC9}"/>
            </c:ext>
          </c:extLst>
        </c:ser>
        <c:ser>
          <c:idx val="9"/>
          <c:order val="9"/>
          <c:tx>
            <c:v>0.9</c:v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E8B2-42D5-86A5-7DC79908D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240232"/>
        <c:axId val="1"/>
      </c:scatterChart>
      <c:valAx>
        <c:axId val="61824023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 / IMax</a:t>
                </a:r>
              </a:p>
            </c:rich>
          </c:tx>
          <c:layout>
            <c:manualLayout>
              <c:xMode val="edge"/>
              <c:yMode val="edge"/>
              <c:x val="0.46357650657906169"/>
              <c:y val="0.902062846678170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0.1"/>
        <c:minorUnit val="0.05"/>
      </c:valAx>
      <c:valAx>
        <c:axId val="1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DT / DTMax</a:t>
                </a:r>
              </a:p>
            </c:rich>
          </c:tx>
          <c:layout>
            <c:manualLayout>
              <c:xMode val="edge"/>
              <c:yMode val="edge"/>
              <c:x val="2.4834437086092714E-2"/>
              <c:y val="0.378866432627911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8240232"/>
        <c:crosses val="autoZero"/>
        <c:crossBetween val="midCat"/>
        <c:majorUnit val="0.1"/>
        <c:minorUnit val="0.05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023185760720307"/>
          <c:y val="0.22680444541409653"/>
          <c:w val="0.99172254958196449"/>
          <c:h val="0.770619806025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Voltage vs. Current for No Load and No DT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Q=0</c:v>
          </c:tx>
          <c:marker>
            <c:symbol val="none"/>
          </c:marker>
          <c:xVal>
            <c:numRef>
              <c:f>[1]TEC_Sizing!$A$63:$A$83</c:f>
              <c:numCache>
                <c:formatCode>General</c:formatCode>
                <c:ptCount val="21"/>
                <c:pt idx="0">
                  <c:v>0</c:v>
                </c:pt>
                <c:pt idx="1">
                  <c:v>0.125</c:v>
                </c:pt>
                <c:pt idx="2">
                  <c:v>0.25</c:v>
                </c:pt>
                <c:pt idx="3">
                  <c:v>0.375</c:v>
                </c:pt>
                <c:pt idx="4">
                  <c:v>0.5</c:v>
                </c:pt>
                <c:pt idx="5">
                  <c:v>0.625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  <c:pt idx="9">
                  <c:v>1.125</c:v>
                </c:pt>
                <c:pt idx="10">
                  <c:v>1.25</c:v>
                </c:pt>
                <c:pt idx="11">
                  <c:v>1.375</c:v>
                </c:pt>
                <c:pt idx="12">
                  <c:v>1.5</c:v>
                </c:pt>
                <c:pt idx="13">
                  <c:v>1.625</c:v>
                </c:pt>
                <c:pt idx="14">
                  <c:v>1.75</c:v>
                </c:pt>
                <c:pt idx="15">
                  <c:v>1.875</c:v>
                </c:pt>
                <c:pt idx="16">
                  <c:v>2</c:v>
                </c:pt>
                <c:pt idx="17">
                  <c:v>2.125</c:v>
                </c:pt>
                <c:pt idx="18">
                  <c:v>2.25</c:v>
                </c:pt>
                <c:pt idx="19">
                  <c:v>2.375</c:v>
                </c:pt>
                <c:pt idx="20">
                  <c:v>2.5</c:v>
                </c:pt>
              </c:numCache>
            </c:numRef>
          </c:xVal>
          <c:yVal>
            <c:numRef>
              <c:f>[1]TEC_Sizing!$B$63:$B$83</c:f>
              <c:numCache>
                <c:formatCode>General</c:formatCode>
                <c:ptCount val="21"/>
                <c:pt idx="0">
                  <c:v>0</c:v>
                </c:pt>
                <c:pt idx="1">
                  <c:v>0.74191304347826093</c:v>
                </c:pt>
                <c:pt idx="2">
                  <c:v>1.2365217391304348</c:v>
                </c:pt>
                <c:pt idx="3">
                  <c:v>1.7311304347826086</c:v>
                </c:pt>
                <c:pt idx="4">
                  <c:v>2.2669565217391305</c:v>
                </c:pt>
                <c:pt idx="5">
                  <c:v>2.6791304347826088</c:v>
                </c:pt>
                <c:pt idx="6">
                  <c:v>3.1325217391304347</c:v>
                </c:pt>
                <c:pt idx="7">
                  <c:v>3.544695652173913</c:v>
                </c:pt>
                <c:pt idx="8">
                  <c:v>4.0393043478260875</c:v>
                </c:pt>
                <c:pt idx="9">
                  <c:v>4.4514782608695658</c:v>
                </c:pt>
                <c:pt idx="10">
                  <c:v>4.8224347826086955</c:v>
                </c:pt>
                <c:pt idx="11">
                  <c:v>5.1933913043478261</c:v>
                </c:pt>
                <c:pt idx="12">
                  <c:v>5.6055652173913053</c:v>
                </c:pt>
                <c:pt idx="13">
                  <c:v>5.8940869565217389</c:v>
                </c:pt>
                <c:pt idx="14">
                  <c:v>6.2650434782608695</c:v>
                </c:pt>
                <c:pt idx="15">
                  <c:v>6.5947826086956525</c:v>
                </c:pt>
                <c:pt idx="16">
                  <c:v>6.9657391304347831</c:v>
                </c:pt>
                <c:pt idx="17">
                  <c:v>7.2542608695652175</c:v>
                </c:pt>
                <c:pt idx="18">
                  <c:v>7.5427826086956529</c:v>
                </c:pt>
                <c:pt idx="19">
                  <c:v>7.872521739130435</c:v>
                </c:pt>
                <c:pt idx="20">
                  <c:v>8.2434782608695656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5B-436E-9971-84A0A62EFB06}"/>
            </c:ext>
          </c:extLst>
        </c:ser>
        <c:ser>
          <c:idx val="1"/>
          <c:order val="1"/>
          <c:tx>
            <c:v>DT=0</c:v>
          </c:tx>
          <c:marker>
            <c:symbol val="none"/>
          </c:marker>
          <c:xVal>
            <c:numRef>
              <c:f>[1]TEC_Sizing!$A$63:$A$83</c:f>
              <c:numCache>
                <c:formatCode>General</c:formatCode>
                <c:ptCount val="21"/>
                <c:pt idx="0">
                  <c:v>0</c:v>
                </c:pt>
                <c:pt idx="1">
                  <c:v>0.125</c:v>
                </c:pt>
                <c:pt idx="2">
                  <c:v>0.25</c:v>
                </c:pt>
                <c:pt idx="3">
                  <c:v>0.375</c:v>
                </c:pt>
                <c:pt idx="4">
                  <c:v>0.5</c:v>
                </c:pt>
                <c:pt idx="5">
                  <c:v>0.625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  <c:pt idx="9">
                  <c:v>1.125</c:v>
                </c:pt>
                <c:pt idx="10">
                  <c:v>1.25</c:v>
                </c:pt>
                <c:pt idx="11">
                  <c:v>1.375</c:v>
                </c:pt>
                <c:pt idx="12">
                  <c:v>1.5</c:v>
                </c:pt>
                <c:pt idx="13">
                  <c:v>1.625</c:v>
                </c:pt>
                <c:pt idx="14">
                  <c:v>1.75</c:v>
                </c:pt>
                <c:pt idx="15">
                  <c:v>1.875</c:v>
                </c:pt>
                <c:pt idx="16">
                  <c:v>2</c:v>
                </c:pt>
                <c:pt idx="17">
                  <c:v>2.125</c:v>
                </c:pt>
                <c:pt idx="18">
                  <c:v>2.25</c:v>
                </c:pt>
                <c:pt idx="19">
                  <c:v>2.375</c:v>
                </c:pt>
                <c:pt idx="20">
                  <c:v>2.5</c:v>
                </c:pt>
              </c:numCache>
            </c:numRef>
          </c:xVal>
          <c:yVal>
            <c:numRef>
              <c:f>[1]TEC_Sizing!$C$63:$C$83</c:f>
              <c:numCache>
                <c:formatCode>General</c:formatCode>
                <c:ptCount val="21"/>
                <c:pt idx="0">
                  <c:v>0</c:v>
                </c:pt>
                <c:pt idx="1">
                  <c:v>0.41217391304347828</c:v>
                </c:pt>
                <c:pt idx="2">
                  <c:v>0.74191304347826093</c:v>
                </c:pt>
                <c:pt idx="3">
                  <c:v>1.0716521739130436</c:v>
                </c:pt>
                <c:pt idx="4">
                  <c:v>1.3601739130434785</c:v>
                </c:pt>
                <c:pt idx="5">
                  <c:v>1.7311304347826086</c:v>
                </c:pt>
                <c:pt idx="6">
                  <c:v>2.1433043478260871</c:v>
                </c:pt>
                <c:pt idx="7">
                  <c:v>2.4730434782608697</c:v>
                </c:pt>
                <c:pt idx="8">
                  <c:v>2.885217391304348</c:v>
                </c:pt>
                <c:pt idx="9">
                  <c:v>3.2973913043478262</c:v>
                </c:pt>
                <c:pt idx="10">
                  <c:v>3.7095652173913045</c:v>
                </c:pt>
                <c:pt idx="11">
                  <c:v>4.1217391304347828</c:v>
                </c:pt>
                <c:pt idx="12">
                  <c:v>4.5339130434782611</c:v>
                </c:pt>
                <c:pt idx="13">
                  <c:v>4.9460869565217394</c:v>
                </c:pt>
                <c:pt idx="14">
                  <c:v>5.3582608695652176</c:v>
                </c:pt>
                <c:pt idx="15">
                  <c:v>5.7704347826086959</c:v>
                </c:pt>
                <c:pt idx="16">
                  <c:v>6.2238260869565218</c:v>
                </c:pt>
                <c:pt idx="17">
                  <c:v>6.6772173913043487</c:v>
                </c:pt>
                <c:pt idx="18">
                  <c:v>7.1306086956521746</c:v>
                </c:pt>
                <c:pt idx="19">
                  <c:v>7.5015652173913052</c:v>
                </c:pt>
                <c:pt idx="20">
                  <c:v>7.9961739130434788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5B-436E-9971-84A0A62EF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921456"/>
        <c:axId val="1"/>
      </c:scatterChart>
      <c:valAx>
        <c:axId val="61892145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Current (I)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Voltage (V)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18921456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3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85970871288154E-2"/>
          <c:y val="6.8535825545171333E-2"/>
          <c:w val="0.89665585919407131"/>
          <c:h val="0.7320872274143301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0104575163398694E-2"/>
                  <c:y val="0.15892511099663956"/>
                </c:manualLayout>
              </c:layout>
              <c:tx>
                <c:rich>
                  <a:bodyPr/>
                  <a:lstStyle/>
                  <a:p>
                    <a:fld id="{3CD59CFC-A2BF-4BB0-90E9-1A834CBCD8B4}" type="YVALUE">
                      <a:rPr lang="en-US"/>
                      <a:pPr/>
                      <a:t>[Y VALUE]</a:t>
                    </a:fld>
                    <a:endParaRPr lang="en-US"/>
                  </a:p>
                  <a:p>
                    <a:r>
                      <a:rPr lang="en-US"/>
                      <a:t>Detector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F6A2-4409-99F4-297DA34087BD}"/>
                </c:ext>
              </c:extLst>
            </c:dLbl>
            <c:dLbl>
              <c:idx val="1"/>
              <c:layout>
                <c:manualLayout>
                  <c:x val="-9.2640625804127477E-2"/>
                  <c:y val="0.71344224495302577"/>
                </c:manualLayout>
              </c:layout>
              <c:tx>
                <c:rich>
                  <a:bodyPr/>
                  <a:lstStyle/>
                  <a:p>
                    <a:fld id="{40D6DB6B-0DB4-4FFC-964D-14EDD00B709A}" type="YVALUE">
                      <a:rPr lang="en-US"/>
                      <a:pPr/>
                      <a:t>[Y VALUE]</a:t>
                    </a:fld>
                    <a:endParaRPr lang="en-US"/>
                  </a:p>
                  <a:p>
                    <a:r>
                      <a:rPr lang="en-US"/>
                      <a:t>TEC Hot Side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6A2-4409-99F4-297DA34087BD}"/>
                </c:ext>
              </c:extLst>
            </c:dLbl>
            <c:dLbl>
              <c:idx val="2"/>
              <c:layout>
                <c:manualLayout>
                  <c:x val="-5.2379187895630792E-2"/>
                  <c:y val="0.33337993965707557"/>
                </c:manualLayout>
              </c:layout>
              <c:tx>
                <c:rich>
                  <a:bodyPr/>
                  <a:lstStyle/>
                  <a:p>
                    <a:fld id="{DD9C3450-60E8-4889-BEA3-E02D41107AAB}" type="YVALUE">
                      <a:rPr lang="en-US"/>
                      <a:pPr/>
                      <a:t>[Y VALUE]</a:t>
                    </a:fld>
                    <a:endParaRPr lang="en-US"/>
                  </a:p>
                  <a:p>
                    <a:r>
                      <a:rPr lang="en-US"/>
                      <a:t>Radiator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F6A2-4409-99F4-297DA34087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'TEC Orb Ave Sim'!$A$22:$A$24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3</c:v>
                </c:pt>
              </c:numCache>
            </c:numRef>
          </c:xVal>
          <c:yVal>
            <c:numRef>
              <c:f>'TEC Orb Ave Sim'!$B$22:$B$24</c:f>
              <c:numCache>
                <c:formatCode>General</c:formatCode>
                <c:ptCount val="3"/>
                <c:pt idx="0">
                  <c:v>265</c:v>
                </c:pt>
                <c:pt idx="1">
                  <c:v>271.98529411764713</c:v>
                </c:pt>
                <c:pt idx="2">
                  <c:v>267.25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3-4D0D-91C1-285856581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505152"/>
        <c:axId val="877503184"/>
      </c:scatterChart>
      <c:valAx>
        <c:axId val="87750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7503184"/>
        <c:crosses val="autoZero"/>
        <c:crossBetween val="midCat"/>
      </c:valAx>
      <c:valAx>
        <c:axId val="87750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505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2U Radiator to Space</a:t>
            </a:r>
          </a:p>
          <a:p>
            <a:pPr>
              <a:defRPr/>
            </a:pPr>
            <a:r>
              <a:rPr lang="en-US"/>
              <a:t>Continuous</a:t>
            </a:r>
            <a:r>
              <a:rPr lang="en-US" baseline="0"/>
              <a:t> TEC Power, Cold Side at 265K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TEC Hot Side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plus"/>
            <c:errValType val="percentage"/>
            <c:noEndCap val="0"/>
            <c:val val="0.2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'TEC Orb Ave Sim'!$A$7:$A$16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'TEC Orb Ave Sim'!$C$7:$C$16</c:f>
              <c:numCache>
                <c:formatCode>General</c:formatCode>
                <c:ptCount val="10"/>
                <c:pt idx="0">
                  <c:v>265</c:v>
                </c:pt>
                <c:pt idx="1">
                  <c:v>270.88235294117652</c:v>
                </c:pt>
                <c:pt idx="2">
                  <c:v>271.76470588235298</c:v>
                </c:pt>
                <c:pt idx="3">
                  <c:v>271.98529411764713</c:v>
                </c:pt>
                <c:pt idx="4">
                  <c:v>271.98529411764713</c:v>
                </c:pt>
                <c:pt idx="5">
                  <c:v>271.98529411764713</c:v>
                </c:pt>
                <c:pt idx="6">
                  <c:v>271.98529411764713</c:v>
                </c:pt>
                <c:pt idx="7">
                  <c:v>271.98529411764713</c:v>
                </c:pt>
                <c:pt idx="8">
                  <c:v>271.98529411764713</c:v>
                </c:pt>
                <c:pt idx="9">
                  <c:v>271.98529411764713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BC-4EFF-8F12-902A10571FB3}"/>
            </c:ext>
          </c:extLst>
        </c:ser>
        <c:ser>
          <c:idx val="1"/>
          <c:order val="1"/>
          <c:tx>
            <c:v>Radiator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plus"/>
            <c:errValType val="percentage"/>
            <c:noEndCap val="0"/>
            <c:val val="0.2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'TEC Orb Ave Sim'!$A$7:$A$16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'TEC Orb Ave Sim'!$I$7:$I$16</c:f>
              <c:numCache>
                <c:formatCode>General</c:formatCode>
                <c:ptCount val="10"/>
                <c:pt idx="0">
                  <c:v>266</c:v>
                </c:pt>
                <c:pt idx="1">
                  <c:v>267</c:v>
                </c:pt>
                <c:pt idx="2">
                  <c:v>267.25</c:v>
                </c:pt>
                <c:pt idx="3">
                  <c:v>267.25</c:v>
                </c:pt>
                <c:pt idx="4">
                  <c:v>267.25</c:v>
                </c:pt>
                <c:pt idx="5">
                  <c:v>267.25</c:v>
                </c:pt>
                <c:pt idx="6">
                  <c:v>267.25</c:v>
                </c:pt>
                <c:pt idx="7">
                  <c:v>267.25</c:v>
                </c:pt>
                <c:pt idx="8">
                  <c:v>267.25</c:v>
                </c:pt>
                <c:pt idx="9">
                  <c:v>267.25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BC-4EFF-8F12-902A10571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452776"/>
        <c:axId val="870449824"/>
      </c:scatterChart>
      <c:valAx>
        <c:axId val="870452776"/>
        <c:scaling>
          <c:orientation val="minMax"/>
          <c:max val="5"/>
          <c:min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Calculation 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449824"/>
        <c:crosses val="autoZero"/>
        <c:crossBetween val="midCat"/>
        <c:majorUnit val="1"/>
      </c:valAx>
      <c:valAx>
        <c:axId val="870449824"/>
        <c:scaling>
          <c:orientation val="minMax"/>
          <c:max val="274"/>
          <c:min val="2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452776"/>
        <c:crosses val="autoZero"/>
        <c:crossBetween val="midCat"/>
        <c:majorUnit val="2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4th-order Polynomial Steady-State Orbital Average Radiator Energy Balance for Different Angles of Solar Incidence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90 degrees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'Incident Angle Study'!$F$5:$F$37</c:f>
              <c:numCache>
                <c:formatCode>General</c:formatCode>
                <c:ptCount val="33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  <c:pt idx="17">
                  <c:v>285</c:v>
                </c:pt>
                <c:pt idx="18">
                  <c:v>290</c:v>
                </c:pt>
                <c:pt idx="19">
                  <c:v>295</c:v>
                </c:pt>
                <c:pt idx="20">
                  <c:v>300</c:v>
                </c:pt>
                <c:pt idx="21">
                  <c:v>305</c:v>
                </c:pt>
                <c:pt idx="22">
                  <c:v>310</c:v>
                </c:pt>
                <c:pt idx="23">
                  <c:v>315</c:v>
                </c:pt>
                <c:pt idx="24">
                  <c:v>320</c:v>
                </c:pt>
                <c:pt idx="25">
                  <c:v>325</c:v>
                </c:pt>
                <c:pt idx="26">
                  <c:v>330</c:v>
                </c:pt>
                <c:pt idx="27">
                  <c:v>335</c:v>
                </c:pt>
                <c:pt idx="28">
                  <c:v>340</c:v>
                </c:pt>
                <c:pt idx="29">
                  <c:v>345</c:v>
                </c:pt>
                <c:pt idx="30">
                  <c:v>350</c:v>
                </c:pt>
                <c:pt idx="31">
                  <c:v>355</c:v>
                </c:pt>
                <c:pt idx="32">
                  <c:v>360</c:v>
                </c:pt>
              </c:numCache>
            </c:numRef>
          </c:xVal>
          <c:yVal>
            <c:numRef>
              <c:f>'Incident Angle Study'!$H$5:$H$37</c:f>
              <c:numCache>
                <c:formatCode>General</c:formatCode>
                <c:ptCount val="33"/>
                <c:pt idx="0">
                  <c:v>7.7113718556721977</c:v>
                </c:pt>
                <c:pt idx="1">
                  <c:v>7.2027866614508493</c:v>
                </c:pt>
                <c:pt idx="2">
                  <c:v>6.6841726064818188</c:v>
                </c:pt>
                <c:pt idx="3">
                  <c:v>6.1550345611277235</c:v>
                </c:pt>
                <c:pt idx="4">
                  <c:v>5.6148654649165399</c:v>
                </c:pt>
                <c:pt idx="5">
                  <c:v>5.0631463265416086</c:v>
                </c:pt>
                <c:pt idx="6">
                  <c:v>4.4993462238616386</c:v>
                </c:pt>
                <c:pt idx="7">
                  <c:v>3.9229223039006822</c:v>
                </c:pt>
                <c:pt idx="8">
                  <c:v>3.3333197828481795</c:v>
                </c:pt>
                <c:pt idx="9">
                  <c:v>2.7299719460589262</c:v>
                </c:pt>
                <c:pt idx="10">
                  <c:v>2.1123001480530816</c:v>
                </c:pt>
                <c:pt idx="11">
                  <c:v>1.4797138125161804</c:v>
                </c:pt>
                <c:pt idx="12">
                  <c:v>0.83161043229908282</c:v>
                </c:pt>
                <c:pt idx="13">
                  <c:v>0.1673755694180758</c:v>
                </c:pt>
                <c:pt idx="14">
                  <c:v>-0.51361714494524036</c:v>
                </c:pt>
                <c:pt idx="15">
                  <c:v>-1.2120060104439028</c:v>
                </c:pt>
                <c:pt idx="16">
                  <c:v>-1.928441257565533</c:v>
                </c:pt>
                <c:pt idx="17">
                  <c:v>-2.6635850476324547</c:v>
                </c:pt>
                <c:pt idx="18">
                  <c:v>-3.4181114728015638</c:v>
                </c:pt>
                <c:pt idx="19">
                  <c:v>-4.1927065560644374</c:v>
                </c:pt>
                <c:pt idx="20">
                  <c:v>-4.9880682512472942</c:v>
                </c:pt>
                <c:pt idx="21">
                  <c:v>-5.8049064430109327</c:v>
                </c:pt>
                <c:pt idx="22">
                  <c:v>-6.6439429468508395</c:v>
                </c:pt>
                <c:pt idx="23">
                  <c:v>-7.5059115090971407</c:v>
                </c:pt>
                <c:pt idx="24">
                  <c:v>-8.3915578069145429</c:v>
                </c:pt>
                <c:pt idx="25">
                  <c:v>-9.3016394483024598</c:v>
                </c:pt>
                <c:pt idx="26">
                  <c:v>-10.23692597209487</c:v>
                </c:pt>
                <c:pt idx="27">
                  <c:v>-11.198198847960443</c:v>
                </c:pt>
                <c:pt idx="28">
                  <c:v>-12.186251476402477</c:v>
                </c:pt>
                <c:pt idx="29">
                  <c:v>-13.201889188758866</c:v>
                </c:pt>
                <c:pt idx="30">
                  <c:v>-14.245929247202195</c:v>
                </c:pt>
                <c:pt idx="31">
                  <c:v>-15.319200844739632</c:v>
                </c:pt>
                <c:pt idx="32">
                  <c:v>-16.422545105213011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D0-4759-9ECC-C07DD0EE60EF}"/>
            </c:ext>
          </c:extLst>
        </c:ser>
        <c:ser>
          <c:idx val="1"/>
          <c:order val="1"/>
          <c:tx>
            <c:v>100 degrees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'Incident Angle Study'!$F$5:$F$37</c:f>
              <c:numCache>
                <c:formatCode>General</c:formatCode>
                <c:ptCount val="33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  <c:pt idx="17">
                  <c:v>285</c:v>
                </c:pt>
                <c:pt idx="18">
                  <c:v>290</c:v>
                </c:pt>
                <c:pt idx="19">
                  <c:v>295</c:v>
                </c:pt>
                <c:pt idx="20">
                  <c:v>300</c:v>
                </c:pt>
                <c:pt idx="21">
                  <c:v>305</c:v>
                </c:pt>
                <c:pt idx="22">
                  <c:v>310</c:v>
                </c:pt>
                <c:pt idx="23">
                  <c:v>315</c:v>
                </c:pt>
                <c:pt idx="24">
                  <c:v>320</c:v>
                </c:pt>
                <c:pt idx="25">
                  <c:v>325</c:v>
                </c:pt>
                <c:pt idx="26">
                  <c:v>330</c:v>
                </c:pt>
                <c:pt idx="27">
                  <c:v>335</c:v>
                </c:pt>
                <c:pt idx="28">
                  <c:v>340</c:v>
                </c:pt>
                <c:pt idx="29">
                  <c:v>345</c:v>
                </c:pt>
                <c:pt idx="30">
                  <c:v>350</c:v>
                </c:pt>
                <c:pt idx="31">
                  <c:v>355</c:v>
                </c:pt>
                <c:pt idx="32">
                  <c:v>360</c:v>
                </c:pt>
              </c:numCache>
            </c:numRef>
          </c:xVal>
          <c:yVal>
            <c:numRef>
              <c:f>'Incident Angle Study'!$I$5:$I$37</c:f>
              <c:numCache>
                <c:formatCode>General</c:formatCode>
                <c:ptCount val="33"/>
                <c:pt idx="0">
                  <c:v>8.0515443292469087</c:v>
                </c:pt>
                <c:pt idx="1">
                  <c:v>7.5429591350255594</c:v>
                </c:pt>
                <c:pt idx="2">
                  <c:v>7.0243450800565288</c:v>
                </c:pt>
                <c:pt idx="3">
                  <c:v>6.4952070347024335</c:v>
                </c:pt>
                <c:pt idx="4">
                  <c:v>5.95503793849125</c:v>
                </c:pt>
                <c:pt idx="5">
                  <c:v>5.4033188001163186</c:v>
                </c:pt>
                <c:pt idx="6">
                  <c:v>4.8395186974363487</c:v>
                </c:pt>
                <c:pt idx="7">
                  <c:v>4.2630947774753922</c:v>
                </c:pt>
                <c:pt idx="8">
                  <c:v>3.67349225642289</c:v>
                </c:pt>
                <c:pt idx="9">
                  <c:v>3.0701444196336367</c:v>
                </c:pt>
                <c:pt idx="10">
                  <c:v>2.4524726216277921</c:v>
                </c:pt>
                <c:pt idx="11">
                  <c:v>1.8198862860908904</c:v>
                </c:pt>
                <c:pt idx="12">
                  <c:v>1.171782905873793</c:v>
                </c:pt>
                <c:pt idx="13">
                  <c:v>0.507548042992786</c:v>
                </c:pt>
                <c:pt idx="14">
                  <c:v>-0.17344467137053016</c:v>
                </c:pt>
                <c:pt idx="15">
                  <c:v>-0.87183353686919274</c:v>
                </c:pt>
                <c:pt idx="16">
                  <c:v>-1.5882687839908229</c:v>
                </c:pt>
                <c:pt idx="17">
                  <c:v>-2.3234125740577443</c:v>
                </c:pt>
                <c:pt idx="18">
                  <c:v>-3.0779389992268533</c:v>
                </c:pt>
                <c:pt idx="19">
                  <c:v>-3.852534082489727</c:v>
                </c:pt>
                <c:pt idx="20">
                  <c:v>-4.6478957776725842</c:v>
                </c:pt>
                <c:pt idx="21">
                  <c:v>-5.4647339694362227</c:v>
                </c:pt>
                <c:pt idx="22">
                  <c:v>-6.3037704732761295</c:v>
                </c:pt>
                <c:pt idx="23">
                  <c:v>-7.1657390355224306</c:v>
                </c:pt>
                <c:pt idx="24">
                  <c:v>-8.051385333339832</c:v>
                </c:pt>
                <c:pt idx="25">
                  <c:v>-8.9614669747277489</c:v>
                </c:pt>
                <c:pt idx="26">
                  <c:v>-9.8967534985201588</c:v>
                </c:pt>
                <c:pt idx="27">
                  <c:v>-10.858026374385732</c:v>
                </c:pt>
                <c:pt idx="28">
                  <c:v>-11.846079002827766</c:v>
                </c:pt>
                <c:pt idx="29">
                  <c:v>-12.861716715184155</c:v>
                </c:pt>
                <c:pt idx="30">
                  <c:v>-13.905756773627484</c:v>
                </c:pt>
                <c:pt idx="31">
                  <c:v>-14.979028371164921</c:v>
                </c:pt>
                <c:pt idx="32">
                  <c:v>-16.0823726316383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D0-4759-9ECC-C07DD0EE60EF}"/>
            </c:ext>
          </c:extLst>
        </c:ser>
        <c:ser>
          <c:idx val="2"/>
          <c:order val="2"/>
          <c:tx>
            <c:v>110 degrees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'Incident Angle Study'!$F$5:$F$37</c:f>
              <c:numCache>
                <c:formatCode>General</c:formatCode>
                <c:ptCount val="33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  <c:pt idx="17">
                  <c:v>285</c:v>
                </c:pt>
                <c:pt idx="18">
                  <c:v>290</c:v>
                </c:pt>
                <c:pt idx="19">
                  <c:v>295</c:v>
                </c:pt>
                <c:pt idx="20">
                  <c:v>300</c:v>
                </c:pt>
                <c:pt idx="21">
                  <c:v>305</c:v>
                </c:pt>
                <c:pt idx="22">
                  <c:v>310</c:v>
                </c:pt>
                <c:pt idx="23">
                  <c:v>315</c:v>
                </c:pt>
                <c:pt idx="24">
                  <c:v>320</c:v>
                </c:pt>
                <c:pt idx="25">
                  <c:v>325</c:v>
                </c:pt>
                <c:pt idx="26">
                  <c:v>330</c:v>
                </c:pt>
                <c:pt idx="27">
                  <c:v>335</c:v>
                </c:pt>
                <c:pt idx="28">
                  <c:v>340</c:v>
                </c:pt>
                <c:pt idx="29">
                  <c:v>345</c:v>
                </c:pt>
                <c:pt idx="30">
                  <c:v>350</c:v>
                </c:pt>
                <c:pt idx="31">
                  <c:v>355</c:v>
                </c:pt>
                <c:pt idx="32">
                  <c:v>360</c:v>
                </c:pt>
              </c:numCache>
            </c:numRef>
          </c:xVal>
          <c:yVal>
            <c:numRef>
              <c:f>'Incident Angle Study'!$J$5:$J$37</c:f>
              <c:numCache>
                <c:formatCode>General</c:formatCode>
                <c:ptCount val="33"/>
                <c:pt idx="0">
                  <c:v>8.3813808343476275</c:v>
                </c:pt>
                <c:pt idx="1">
                  <c:v>7.87279564012628</c:v>
                </c:pt>
                <c:pt idx="2">
                  <c:v>7.3541815851572494</c:v>
                </c:pt>
                <c:pt idx="3">
                  <c:v>6.8250435398031541</c:v>
                </c:pt>
                <c:pt idx="4">
                  <c:v>6.2848744435919706</c:v>
                </c:pt>
                <c:pt idx="5">
                  <c:v>5.7331553052170392</c:v>
                </c:pt>
                <c:pt idx="6">
                  <c:v>5.1693552025370693</c:v>
                </c:pt>
                <c:pt idx="7">
                  <c:v>4.5929312825761128</c:v>
                </c:pt>
                <c:pt idx="8">
                  <c:v>4.0033287615236102</c:v>
                </c:pt>
                <c:pt idx="9">
                  <c:v>3.3999809247343569</c:v>
                </c:pt>
                <c:pt idx="10">
                  <c:v>2.7823091267285123</c:v>
                </c:pt>
                <c:pt idx="11">
                  <c:v>2.1497227911916106</c:v>
                </c:pt>
                <c:pt idx="12">
                  <c:v>1.5016194109745133</c:v>
                </c:pt>
                <c:pt idx="13">
                  <c:v>0.83738454809350626</c:v>
                </c:pt>
                <c:pt idx="14">
                  <c:v>0.15639183373019006</c:v>
                </c:pt>
                <c:pt idx="15">
                  <c:v>-0.54199703176847247</c:v>
                </c:pt>
                <c:pt idx="16">
                  <c:v>-1.2584322788901026</c:v>
                </c:pt>
                <c:pt idx="17">
                  <c:v>-1.9935760689570241</c:v>
                </c:pt>
                <c:pt idx="18">
                  <c:v>-2.7481024941261332</c:v>
                </c:pt>
                <c:pt idx="19">
                  <c:v>-3.5226975773890068</c:v>
                </c:pt>
                <c:pt idx="20">
                  <c:v>-4.3180592725718636</c:v>
                </c:pt>
                <c:pt idx="21">
                  <c:v>-5.1348974643355021</c:v>
                </c:pt>
                <c:pt idx="22">
                  <c:v>-5.9739339681754089</c:v>
                </c:pt>
                <c:pt idx="23">
                  <c:v>-6.83590253042171</c:v>
                </c:pt>
                <c:pt idx="24">
                  <c:v>-7.7215488282391123</c:v>
                </c:pt>
                <c:pt idx="25">
                  <c:v>-8.6316304696270301</c:v>
                </c:pt>
                <c:pt idx="26">
                  <c:v>-9.56691699341944</c:v>
                </c:pt>
                <c:pt idx="27">
                  <c:v>-10.528189869285013</c:v>
                </c:pt>
                <c:pt idx="28">
                  <c:v>-11.516242497727047</c:v>
                </c:pt>
                <c:pt idx="29">
                  <c:v>-12.531880210083436</c:v>
                </c:pt>
                <c:pt idx="30">
                  <c:v>-13.575920268526765</c:v>
                </c:pt>
                <c:pt idx="31">
                  <c:v>-14.649191866064202</c:v>
                </c:pt>
                <c:pt idx="32">
                  <c:v>-15.752536126537581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D0-4759-9ECC-C07DD0EE60EF}"/>
            </c:ext>
          </c:extLst>
        </c:ser>
        <c:ser>
          <c:idx val="3"/>
          <c:order val="3"/>
          <c:tx>
            <c:v>120 degrees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'Incident Angle Study'!$F$5:$F$37</c:f>
              <c:numCache>
                <c:formatCode>General</c:formatCode>
                <c:ptCount val="33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  <c:pt idx="17">
                  <c:v>285</c:v>
                </c:pt>
                <c:pt idx="18">
                  <c:v>290</c:v>
                </c:pt>
                <c:pt idx="19">
                  <c:v>295</c:v>
                </c:pt>
                <c:pt idx="20">
                  <c:v>300</c:v>
                </c:pt>
                <c:pt idx="21">
                  <c:v>305</c:v>
                </c:pt>
                <c:pt idx="22">
                  <c:v>310</c:v>
                </c:pt>
                <c:pt idx="23">
                  <c:v>315</c:v>
                </c:pt>
                <c:pt idx="24">
                  <c:v>320</c:v>
                </c:pt>
                <c:pt idx="25">
                  <c:v>325</c:v>
                </c:pt>
                <c:pt idx="26">
                  <c:v>330</c:v>
                </c:pt>
                <c:pt idx="27">
                  <c:v>335</c:v>
                </c:pt>
                <c:pt idx="28">
                  <c:v>340</c:v>
                </c:pt>
                <c:pt idx="29">
                  <c:v>345</c:v>
                </c:pt>
                <c:pt idx="30">
                  <c:v>350</c:v>
                </c:pt>
                <c:pt idx="31">
                  <c:v>355</c:v>
                </c:pt>
                <c:pt idx="32">
                  <c:v>360</c:v>
                </c:pt>
              </c:numCache>
            </c:numRef>
          </c:xVal>
          <c:yVal>
            <c:numRef>
              <c:f>'Incident Angle Study'!$K$5:$K$37</c:f>
              <c:numCache>
                <c:formatCode>General</c:formatCode>
                <c:ptCount val="33"/>
                <c:pt idx="0">
                  <c:v>8.6908594556721965</c:v>
                </c:pt>
                <c:pt idx="1">
                  <c:v>8.1822742614508481</c:v>
                </c:pt>
                <c:pt idx="2">
                  <c:v>7.6636602064818184</c:v>
                </c:pt>
                <c:pt idx="3">
                  <c:v>7.1345221611277232</c:v>
                </c:pt>
                <c:pt idx="4">
                  <c:v>6.5943530649165396</c:v>
                </c:pt>
                <c:pt idx="5">
                  <c:v>6.0426339265416082</c:v>
                </c:pt>
                <c:pt idx="6">
                  <c:v>5.4788338238616383</c:v>
                </c:pt>
                <c:pt idx="7">
                  <c:v>4.9024099039006819</c:v>
                </c:pt>
                <c:pt idx="8">
                  <c:v>4.3128073828481792</c:v>
                </c:pt>
                <c:pt idx="9">
                  <c:v>3.7094595460589259</c:v>
                </c:pt>
                <c:pt idx="10">
                  <c:v>3.0917877480530813</c:v>
                </c:pt>
                <c:pt idx="11">
                  <c:v>2.4592014125161796</c:v>
                </c:pt>
                <c:pt idx="12">
                  <c:v>1.8110980322990824</c:v>
                </c:pt>
                <c:pt idx="13">
                  <c:v>1.1468631694180753</c:v>
                </c:pt>
                <c:pt idx="14">
                  <c:v>0.4658704550547591</c:v>
                </c:pt>
                <c:pt idx="15">
                  <c:v>-0.23251841044390342</c:v>
                </c:pt>
                <c:pt idx="16">
                  <c:v>-0.94895365756553363</c:v>
                </c:pt>
                <c:pt idx="17">
                  <c:v>-1.6840974476324551</c:v>
                </c:pt>
                <c:pt idx="18">
                  <c:v>-2.4386238728015641</c:v>
                </c:pt>
                <c:pt idx="19">
                  <c:v>-3.2132189560644377</c:v>
                </c:pt>
                <c:pt idx="20">
                  <c:v>-4.0085806512472946</c:v>
                </c:pt>
                <c:pt idx="21">
                  <c:v>-4.825418843010933</c:v>
                </c:pt>
                <c:pt idx="22">
                  <c:v>-5.6644553468508398</c:v>
                </c:pt>
                <c:pt idx="23">
                  <c:v>-6.526423909097141</c:v>
                </c:pt>
                <c:pt idx="24">
                  <c:v>-7.4120702069145432</c:v>
                </c:pt>
                <c:pt idx="25">
                  <c:v>-8.322151848302461</c:v>
                </c:pt>
                <c:pt idx="26">
                  <c:v>-9.257438372094871</c:v>
                </c:pt>
                <c:pt idx="27">
                  <c:v>-10.218711247960444</c:v>
                </c:pt>
                <c:pt idx="28">
                  <c:v>-11.206763876402478</c:v>
                </c:pt>
                <c:pt idx="29">
                  <c:v>-12.222401588758867</c:v>
                </c:pt>
                <c:pt idx="30">
                  <c:v>-13.266441647202196</c:v>
                </c:pt>
                <c:pt idx="31">
                  <c:v>-14.339713244739633</c:v>
                </c:pt>
                <c:pt idx="32">
                  <c:v>-15.443057505213012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2D0-4759-9ECC-C07DD0EE60EF}"/>
            </c:ext>
          </c:extLst>
        </c:ser>
        <c:ser>
          <c:idx val="4"/>
          <c:order val="4"/>
          <c:tx>
            <c:v>130 degrees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'Incident Angle Study'!$F$5:$F$37</c:f>
              <c:numCache>
                <c:formatCode>General</c:formatCode>
                <c:ptCount val="33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  <c:pt idx="17">
                  <c:v>285</c:v>
                </c:pt>
                <c:pt idx="18">
                  <c:v>290</c:v>
                </c:pt>
                <c:pt idx="19">
                  <c:v>295</c:v>
                </c:pt>
                <c:pt idx="20">
                  <c:v>300</c:v>
                </c:pt>
                <c:pt idx="21">
                  <c:v>305</c:v>
                </c:pt>
                <c:pt idx="22">
                  <c:v>310</c:v>
                </c:pt>
                <c:pt idx="23">
                  <c:v>315</c:v>
                </c:pt>
                <c:pt idx="24">
                  <c:v>320</c:v>
                </c:pt>
                <c:pt idx="25">
                  <c:v>325</c:v>
                </c:pt>
                <c:pt idx="26">
                  <c:v>330</c:v>
                </c:pt>
                <c:pt idx="27">
                  <c:v>335</c:v>
                </c:pt>
                <c:pt idx="28">
                  <c:v>340</c:v>
                </c:pt>
                <c:pt idx="29">
                  <c:v>345</c:v>
                </c:pt>
                <c:pt idx="30">
                  <c:v>350</c:v>
                </c:pt>
                <c:pt idx="31">
                  <c:v>355</c:v>
                </c:pt>
                <c:pt idx="32">
                  <c:v>360</c:v>
                </c:pt>
              </c:numCache>
            </c:numRef>
          </c:xVal>
          <c:yVal>
            <c:numRef>
              <c:f>'Incident Angle Study'!$L$5:$L$37</c:f>
              <c:numCache>
                <c:formatCode>General</c:formatCode>
                <c:ptCount val="33"/>
                <c:pt idx="0">
                  <c:v>8.9705768419154079</c:v>
                </c:pt>
                <c:pt idx="1">
                  <c:v>8.4619916476940595</c:v>
                </c:pt>
                <c:pt idx="2">
                  <c:v>7.943377592725029</c:v>
                </c:pt>
                <c:pt idx="3">
                  <c:v>7.4142395473709337</c:v>
                </c:pt>
                <c:pt idx="4">
                  <c:v>6.8740704511597501</c:v>
                </c:pt>
                <c:pt idx="5">
                  <c:v>6.3223513127848188</c:v>
                </c:pt>
                <c:pt idx="6">
                  <c:v>5.7585512101048488</c:v>
                </c:pt>
                <c:pt idx="7">
                  <c:v>5.1821272901438924</c:v>
                </c:pt>
                <c:pt idx="8">
                  <c:v>4.5925247690913897</c:v>
                </c:pt>
                <c:pt idx="9">
                  <c:v>3.9891769323021364</c:v>
                </c:pt>
                <c:pt idx="10">
                  <c:v>3.3715051342962923</c:v>
                </c:pt>
                <c:pt idx="11">
                  <c:v>2.7389187987593906</c:v>
                </c:pt>
                <c:pt idx="12">
                  <c:v>2.0908154185422934</c:v>
                </c:pt>
                <c:pt idx="13">
                  <c:v>1.4265805556612861</c:v>
                </c:pt>
                <c:pt idx="14">
                  <c:v>0.74558784129796996</c:v>
                </c:pt>
                <c:pt idx="15">
                  <c:v>4.719897579930743E-2</c:v>
                </c:pt>
                <c:pt idx="16">
                  <c:v>-0.66923627132232277</c:v>
                </c:pt>
                <c:pt idx="17">
                  <c:v>-1.4043800613892443</c:v>
                </c:pt>
                <c:pt idx="18">
                  <c:v>-2.1589064865583536</c:v>
                </c:pt>
                <c:pt idx="19">
                  <c:v>-2.9335015698212272</c:v>
                </c:pt>
                <c:pt idx="20">
                  <c:v>-3.728863265004084</c:v>
                </c:pt>
                <c:pt idx="21">
                  <c:v>-4.5457014567677225</c:v>
                </c:pt>
                <c:pt idx="22">
                  <c:v>-5.3847379606076293</c:v>
                </c:pt>
                <c:pt idx="23">
                  <c:v>-6.2467065228539305</c:v>
                </c:pt>
                <c:pt idx="24">
                  <c:v>-7.1323528206713327</c:v>
                </c:pt>
                <c:pt idx="25">
                  <c:v>-8.0424344620592496</c:v>
                </c:pt>
                <c:pt idx="26">
                  <c:v>-8.9777209858516596</c:v>
                </c:pt>
                <c:pt idx="27">
                  <c:v>-9.9389938617172326</c:v>
                </c:pt>
                <c:pt idx="28">
                  <c:v>-10.927046490159267</c:v>
                </c:pt>
                <c:pt idx="29">
                  <c:v>-11.942684202515656</c:v>
                </c:pt>
                <c:pt idx="30">
                  <c:v>-12.986724260958985</c:v>
                </c:pt>
                <c:pt idx="31">
                  <c:v>-14.059995858496421</c:v>
                </c:pt>
                <c:pt idx="32">
                  <c:v>-15.163340118969801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2D0-4759-9ECC-C07DD0EE60EF}"/>
            </c:ext>
          </c:extLst>
        </c:ser>
        <c:ser>
          <c:idx val="5"/>
          <c:order val="5"/>
          <c:tx>
            <c:v>140 degrees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'Incident Angle Study'!$F$5:$F$37</c:f>
              <c:numCache>
                <c:formatCode>General</c:formatCode>
                <c:ptCount val="33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  <c:pt idx="17">
                  <c:v>285</c:v>
                </c:pt>
                <c:pt idx="18">
                  <c:v>290</c:v>
                </c:pt>
                <c:pt idx="19">
                  <c:v>295</c:v>
                </c:pt>
                <c:pt idx="20">
                  <c:v>300</c:v>
                </c:pt>
                <c:pt idx="21">
                  <c:v>305</c:v>
                </c:pt>
                <c:pt idx="22">
                  <c:v>310</c:v>
                </c:pt>
                <c:pt idx="23">
                  <c:v>315</c:v>
                </c:pt>
                <c:pt idx="24">
                  <c:v>320</c:v>
                </c:pt>
                <c:pt idx="25">
                  <c:v>325</c:v>
                </c:pt>
                <c:pt idx="26">
                  <c:v>330</c:v>
                </c:pt>
                <c:pt idx="27">
                  <c:v>335</c:v>
                </c:pt>
                <c:pt idx="28">
                  <c:v>340</c:v>
                </c:pt>
                <c:pt idx="29">
                  <c:v>345</c:v>
                </c:pt>
                <c:pt idx="30">
                  <c:v>350</c:v>
                </c:pt>
                <c:pt idx="31">
                  <c:v>355</c:v>
                </c:pt>
                <c:pt idx="32">
                  <c:v>360</c:v>
                </c:pt>
              </c:numCache>
            </c:numRef>
          </c:xVal>
          <c:yVal>
            <c:numRef>
              <c:f>'Incident Angle Study'!$M$5:$M$37</c:f>
              <c:numCache>
                <c:formatCode>General</c:formatCode>
                <c:ptCount val="33"/>
                <c:pt idx="0">
                  <c:v>9.2120339218400868</c:v>
                </c:pt>
                <c:pt idx="1">
                  <c:v>8.7034487276187384</c:v>
                </c:pt>
                <c:pt idx="2">
                  <c:v>8.184834672649707</c:v>
                </c:pt>
                <c:pt idx="3">
                  <c:v>7.6556966272956117</c:v>
                </c:pt>
                <c:pt idx="4">
                  <c:v>7.1155275310844281</c:v>
                </c:pt>
                <c:pt idx="5">
                  <c:v>6.5638083927094968</c:v>
                </c:pt>
                <c:pt idx="6">
                  <c:v>6.0000082900295268</c:v>
                </c:pt>
                <c:pt idx="7">
                  <c:v>5.4235843700685704</c:v>
                </c:pt>
                <c:pt idx="8">
                  <c:v>4.8339818490160678</c:v>
                </c:pt>
                <c:pt idx="9">
                  <c:v>4.2306340122268145</c:v>
                </c:pt>
                <c:pt idx="10">
                  <c:v>3.6129622142209703</c:v>
                </c:pt>
                <c:pt idx="11">
                  <c:v>2.9803758786840686</c:v>
                </c:pt>
                <c:pt idx="12">
                  <c:v>2.3322724984669714</c:v>
                </c:pt>
                <c:pt idx="13">
                  <c:v>1.6680376355859641</c:v>
                </c:pt>
                <c:pt idx="14">
                  <c:v>0.98704492122264798</c:v>
                </c:pt>
                <c:pt idx="15">
                  <c:v>0.28865605572398545</c:v>
                </c:pt>
                <c:pt idx="16">
                  <c:v>-0.42777919139764475</c:v>
                </c:pt>
                <c:pt idx="17">
                  <c:v>-1.1629229814645663</c:v>
                </c:pt>
                <c:pt idx="18">
                  <c:v>-1.9174494066336754</c:v>
                </c:pt>
                <c:pt idx="19">
                  <c:v>-2.6920444898965492</c:v>
                </c:pt>
                <c:pt idx="20">
                  <c:v>-3.487406185079406</c:v>
                </c:pt>
                <c:pt idx="21">
                  <c:v>-4.3042443768430445</c:v>
                </c:pt>
                <c:pt idx="22">
                  <c:v>-5.1432808806829513</c:v>
                </c:pt>
                <c:pt idx="23">
                  <c:v>-6.0052494429292524</c:v>
                </c:pt>
                <c:pt idx="24">
                  <c:v>-6.8908957407466547</c:v>
                </c:pt>
                <c:pt idx="25">
                  <c:v>-7.8009773821345716</c:v>
                </c:pt>
                <c:pt idx="26">
                  <c:v>-8.7362639059269807</c:v>
                </c:pt>
                <c:pt idx="27">
                  <c:v>-9.6975367817925537</c:v>
                </c:pt>
                <c:pt idx="28">
                  <c:v>-10.685589410234588</c:v>
                </c:pt>
                <c:pt idx="29">
                  <c:v>-11.701227122590977</c:v>
                </c:pt>
                <c:pt idx="30">
                  <c:v>-12.745267181034306</c:v>
                </c:pt>
                <c:pt idx="31">
                  <c:v>-13.818538778571742</c:v>
                </c:pt>
                <c:pt idx="32">
                  <c:v>-14.921883039045122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2D0-4759-9ECC-C07DD0EE60EF}"/>
            </c:ext>
          </c:extLst>
        </c:ser>
        <c:ser>
          <c:idx val="6"/>
          <c:order val="6"/>
          <c:tx>
            <c:v>150 degrees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'Incident Angle Study'!$F$5:$F$37</c:f>
              <c:numCache>
                <c:formatCode>General</c:formatCode>
                <c:ptCount val="33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  <c:pt idx="17">
                  <c:v>285</c:v>
                </c:pt>
                <c:pt idx="18">
                  <c:v>290</c:v>
                </c:pt>
                <c:pt idx="19">
                  <c:v>295</c:v>
                </c:pt>
                <c:pt idx="20">
                  <c:v>300</c:v>
                </c:pt>
                <c:pt idx="21">
                  <c:v>305</c:v>
                </c:pt>
                <c:pt idx="22">
                  <c:v>310</c:v>
                </c:pt>
                <c:pt idx="23">
                  <c:v>315</c:v>
                </c:pt>
                <c:pt idx="24">
                  <c:v>320</c:v>
                </c:pt>
                <c:pt idx="25">
                  <c:v>325</c:v>
                </c:pt>
                <c:pt idx="26">
                  <c:v>330</c:v>
                </c:pt>
                <c:pt idx="27">
                  <c:v>335</c:v>
                </c:pt>
                <c:pt idx="28">
                  <c:v>340</c:v>
                </c:pt>
                <c:pt idx="29">
                  <c:v>345</c:v>
                </c:pt>
                <c:pt idx="30">
                  <c:v>350</c:v>
                </c:pt>
                <c:pt idx="31">
                  <c:v>355</c:v>
                </c:pt>
                <c:pt idx="32">
                  <c:v>360</c:v>
                </c:pt>
              </c:numCache>
            </c:numRef>
          </c:xVal>
          <c:yVal>
            <c:numRef>
              <c:f>'Incident Angle Study'!$N$5:$N$37</c:f>
              <c:numCache>
                <c:formatCode>General</c:formatCode>
                <c:ptCount val="33"/>
                <c:pt idx="0">
                  <c:v>9.4078941442558985</c:v>
                </c:pt>
                <c:pt idx="1">
                  <c:v>8.8993089500345519</c:v>
                </c:pt>
                <c:pt idx="2">
                  <c:v>8.3806948950655205</c:v>
                </c:pt>
                <c:pt idx="3">
                  <c:v>7.8515568497114252</c:v>
                </c:pt>
                <c:pt idx="4">
                  <c:v>7.3113877535002416</c:v>
                </c:pt>
                <c:pt idx="5">
                  <c:v>6.7596686151253103</c:v>
                </c:pt>
                <c:pt idx="6">
                  <c:v>6.1958685124453403</c:v>
                </c:pt>
                <c:pt idx="7">
                  <c:v>5.6194445924843839</c:v>
                </c:pt>
                <c:pt idx="8">
                  <c:v>5.0298420714318812</c:v>
                </c:pt>
                <c:pt idx="9">
                  <c:v>4.4264942346426279</c:v>
                </c:pt>
                <c:pt idx="10">
                  <c:v>3.8088224366367833</c:v>
                </c:pt>
                <c:pt idx="11">
                  <c:v>3.1762361010998816</c:v>
                </c:pt>
                <c:pt idx="12">
                  <c:v>2.5281327208827844</c:v>
                </c:pt>
                <c:pt idx="13">
                  <c:v>1.8638978580017773</c:v>
                </c:pt>
                <c:pt idx="14">
                  <c:v>1.1829051436384612</c:v>
                </c:pt>
                <c:pt idx="15">
                  <c:v>0.4845162781397987</c:v>
                </c:pt>
                <c:pt idx="16">
                  <c:v>-0.23191896898183151</c:v>
                </c:pt>
                <c:pt idx="17">
                  <c:v>-0.96706275904875305</c:v>
                </c:pt>
                <c:pt idx="18">
                  <c:v>-1.7215891842178621</c:v>
                </c:pt>
                <c:pt idx="19">
                  <c:v>-2.4961842674807357</c:v>
                </c:pt>
                <c:pt idx="20">
                  <c:v>-3.2915459626635926</c:v>
                </c:pt>
                <c:pt idx="21">
                  <c:v>-4.108384154427231</c:v>
                </c:pt>
                <c:pt idx="22">
                  <c:v>-4.9474206582671378</c:v>
                </c:pt>
                <c:pt idx="23">
                  <c:v>-5.809389220513439</c:v>
                </c:pt>
                <c:pt idx="24">
                  <c:v>-6.6950355183308412</c:v>
                </c:pt>
                <c:pt idx="25">
                  <c:v>-7.6051171597187581</c:v>
                </c:pt>
                <c:pt idx="26">
                  <c:v>-8.540403683511169</c:v>
                </c:pt>
                <c:pt idx="27">
                  <c:v>-9.5016765593767403</c:v>
                </c:pt>
                <c:pt idx="28">
                  <c:v>-10.489729187818774</c:v>
                </c:pt>
                <c:pt idx="29">
                  <c:v>-11.505366900175165</c:v>
                </c:pt>
                <c:pt idx="30">
                  <c:v>-12.549406958618494</c:v>
                </c:pt>
                <c:pt idx="31">
                  <c:v>-13.622678556155929</c:v>
                </c:pt>
                <c:pt idx="32">
                  <c:v>-14.72602281662931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2D0-4759-9ECC-C07DD0EE60EF}"/>
            </c:ext>
          </c:extLst>
        </c:ser>
        <c:ser>
          <c:idx val="7"/>
          <c:order val="7"/>
          <c:tx>
            <c:v>160 degrees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'Incident Angle Study'!$F$5:$F$37</c:f>
              <c:numCache>
                <c:formatCode>General</c:formatCode>
                <c:ptCount val="33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  <c:pt idx="17">
                  <c:v>285</c:v>
                </c:pt>
                <c:pt idx="18">
                  <c:v>290</c:v>
                </c:pt>
                <c:pt idx="19">
                  <c:v>295</c:v>
                </c:pt>
                <c:pt idx="20">
                  <c:v>300</c:v>
                </c:pt>
                <c:pt idx="21">
                  <c:v>305</c:v>
                </c:pt>
                <c:pt idx="22">
                  <c:v>310</c:v>
                </c:pt>
                <c:pt idx="23">
                  <c:v>315</c:v>
                </c:pt>
                <c:pt idx="24">
                  <c:v>320</c:v>
                </c:pt>
                <c:pt idx="25">
                  <c:v>325</c:v>
                </c:pt>
                <c:pt idx="26">
                  <c:v>330</c:v>
                </c:pt>
                <c:pt idx="27">
                  <c:v>335</c:v>
                </c:pt>
                <c:pt idx="28">
                  <c:v>340</c:v>
                </c:pt>
                <c:pt idx="29">
                  <c:v>345</c:v>
                </c:pt>
                <c:pt idx="30">
                  <c:v>350</c:v>
                </c:pt>
                <c:pt idx="31">
                  <c:v>355</c:v>
                </c:pt>
                <c:pt idx="32">
                  <c:v>360</c:v>
                </c:pt>
              </c:numCache>
            </c:numRef>
          </c:xVal>
          <c:yVal>
            <c:numRef>
              <c:f>'Incident Angle Study'!$O$5:$O$37</c:f>
              <c:numCache>
                <c:formatCode>General</c:formatCode>
                <c:ptCount val="33"/>
                <c:pt idx="0">
                  <c:v>9.552206395414796</c:v>
                </c:pt>
                <c:pt idx="1">
                  <c:v>9.0436212011934476</c:v>
                </c:pt>
                <c:pt idx="2">
                  <c:v>8.5250071462244179</c:v>
                </c:pt>
                <c:pt idx="3">
                  <c:v>7.9958691008703227</c:v>
                </c:pt>
                <c:pt idx="4">
                  <c:v>7.4557000046591391</c:v>
                </c:pt>
                <c:pt idx="5">
                  <c:v>6.9039808662842077</c:v>
                </c:pt>
                <c:pt idx="6">
                  <c:v>6.3401807636042378</c:v>
                </c:pt>
                <c:pt idx="7">
                  <c:v>5.7637568436432813</c:v>
                </c:pt>
                <c:pt idx="8">
                  <c:v>5.1741543225907787</c:v>
                </c:pt>
                <c:pt idx="9">
                  <c:v>4.5708064858015254</c:v>
                </c:pt>
                <c:pt idx="10">
                  <c:v>3.9531346877956803</c:v>
                </c:pt>
                <c:pt idx="11">
                  <c:v>3.3205483522587791</c:v>
                </c:pt>
                <c:pt idx="12">
                  <c:v>2.6724449720416814</c:v>
                </c:pt>
                <c:pt idx="13">
                  <c:v>2.0082101091606748</c:v>
                </c:pt>
                <c:pt idx="14">
                  <c:v>1.3272173947973585</c:v>
                </c:pt>
                <c:pt idx="15">
                  <c:v>0.62882852929869593</c:v>
                </c:pt>
                <c:pt idx="16">
                  <c:v>-8.7606717822934277E-2</c:v>
                </c:pt>
                <c:pt idx="17">
                  <c:v>-0.82275050788985582</c:v>
                </c:pt>
                <c:pt idx="18">
                  <c:v>-1.5772769330589649</c:v>
                </c:pt>
                <c:pt idx="19">
                  <c:v>-2.3518720163218383</c:v>
                </c:pt>
                <c:pt idx="20">
                  <c:v>-3.1472337115046951</c:v>
                </c:pt>
                <c:pt idx="21">
                  <c:v>-3.9640719032683336</c:v>
                </c:pt>
                <c:pt idx="22">
                  <c:v>-4.8031084071082404</c:v>
                </c:pt>
                <c:pt idx="23">
                  <c:v>-5.6650769693545415</c:v>
                </c:pt>
                <c:pt idx="24">
                  <c:v>-6.5507232671719438</c:v>
                </c:pt>
                <c:pt idx="25">
                  <c:v>-7.4608049085598607</c:v>
                </c:pt>
                <c:pt idx="26">
                  <c:v>-8.3960914323522715</c:v>
                </c:pt>
                <c:pt idx="27">
                  <c:v>-9.3573643082178446</c:v>
                </c:pt>
                <c:pt idx="28">
                  <c:v>-10.345416936659879</c:v>
                </c:pt>
                <c:pt idx="29">
                  <c:v>-11.361054649016268</c:v>
                </c:pt>
                <c:pt idx="30">
                  <c:v>-12.405094707459597</c:v>
                </c:pt>
                <c:pt idx="31">
                  <c:v>-13.478366304997033</c:v>
                </c:pt>
                <c:pt idx="32">
                  <c:v>-14.581710565470413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2D0-4759-9ECC-C07DD0EE60EF}"/>
            </c:ext>
          </c:extLst>
        </c:ser>
        <c:ser>
          <c:idx val="8"/>
          <c:order val="8"/>
          <c:tx>
            <c:v>170 degrees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'Incident Angle Study'!$F$5:$F$37</c:f>
              <c:numCache>
                <c:formatCode>General</c:formatCode>
                <c:ptCount val="33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  <c:pt idx="17">
                  <c:v>285</c:v>
                </c:pt>
                <c:pt idx="18">
                  <c:v>290</c:v>
                </c:pt>
                <c:pt idx="19">
                  <c:v>295</c:v>
                </c:pt>
                <c:pt idx="20">
                  <c:v>300</c:v>
                </c:pt>
                <c:pt idx="21">
                  <c:v>305</c:v>
                </c:pt>
                <c:pt idx="22">
                  <c:v>310</c:v>
                </c:pt>
                <c:pt idx="23">
                  <c:v>315</c:v>
                </c:pt>
                <c:pt idx="24">
                  <c:v>320</c:v>
                </c:pt>
                <c:pt idx="25">
                  <c:v>325</c:v>
                </c:pt>
                <c:pt idx="26">
                  <c:v>330</c:v>
                </c:pt>
                <c:pt idx="27">
                  <c:v>335</c:v>
                </c:pt>
                <c:pt idx="28">
                  <c:v>340</c:v>
                </c:pt>
                <c:pt idx="29">
                  <c:v>345</c:v>
                </c:pt>
                <c:pt idx="30">
                  <c:v>350</c:v>
                </c:pt>
                <c:pt idx="31">
                  <c:v>355</c:v>
                </c:pt>
                <c:pt idx="32">
                  <c:v>360</c:v>
                </c:pt>
              </c:numCache>
            </c:numRef>
          </c:xVal>
          <c:yVal>
            <c:numRef>
              <c:f>'Incident Angle Study'!$P$5:$P$37</c:f>
              <c:numCache>
                <c:formatCode>General</c:formatCode>
                <c:ptCount val="33"/>
                <c:pt idx="0">
                  <c:v>9.6405858205908395</c:v>
                </c:pt>
                <c:pt idx="1">
                  <c:v>9.1320006263694893</c:v>
                </c:pt>
                <c:pt idx="2">
                  <c:v>8.6133865714004596</c:v>
                </c:pt>
                <c:pt idx="3">
                  <c:v>8.0842485260463643</c:v>
                </c:pt>
                <c:pt idx="4">
                  <c:v>7.5440794298351808</c:v>
                </c:pt>
                <c:pt idx="5">
                  <c:v>6.9923602914602494</c:v>
                </c:pt>
                <c:pt idx="6">
                  <c:v>6.4285601887802795</c:v>
                </c:pt>
                <c:pt idx="7">
                  <c:v>5.852136268819323</c:v>
                </c:pt>
                <c:pt idx="8">
                  <c:v>5.2625337477668204</c:v>
                </c:pt>
                <c:pt idx="9">
                  <c:v>4.6591859109775671</c:v>
                </c:pt>
                <c:pt idx="10">
                  <c:v>4.041514112971722</c:v>
                </c:pt>
                <c:pt idx="11">
                  <c:v>3.4089277774348208</c:v>
                </c:pt>
                <c:pt idx="12">
                  <c:v>2.7608243972177235</c:v>
                </c:pt>
                <c:pt idx="13">
                  <c:v>2.0965895343367165</c:v>
                </c:pt>
                <c:pt idx="14">
                  <c:v>1.4155968199734004</c:v>
                </c:pt>
                <c:pt idx="15">
                  <c:v>0.71720795447473784</c:v>
                </c:pt>
                <c:pt idx="16">
                  <c:v>7.7270735310763783E-4</c:v>
                </c:pt>
                <c:pt idx="17">
                  <c:v>-0.73437108271381391</c:v>
                </c:pt>
                <c:pt idx="18">
                  <c:v>-1.488897507882923</c:v>
                </c:pt>
                <c:pt idx="19">
                  <c:v>-2.2634925911457966</c:v>
                </c:pt>
                <c:pt idx="20">
                  <c:v>-3.0588542863286534</c:v>
                </c:pt>
                <c:pt idx="21">
                  <c:v>-3.8756924780922919</c:v>
                </c:pt>
                <c:pt idx="22">
                  <c:v>-4.7147289819321987</c:v>
                </c:pt>
                <c:pt idx="23">
                  <c:v>-5.5766975441784998</c:v>
                </c:pt>
                <c:pt idx="24">
                  <c:v>-6.4623438419959021</c:v>
                </c:pt>
                <c:pt idx="25">
                  <c:v>-7.372425483383819</c:v>
                </c:pt>
                <c:pt idx="26">
                  <c:v>-8.307712007176228</c:v>
                </c:pt>
                <c:pt idx="27">
                  <c:v>-9.2689848830418029</c:v>
                </c:pt>
                <c:pt idx="28">
                  <c:v>-10.257037511483837</c:v>
                </c:pt>
                <c:pt idx="29">
                  <c:v>-11.272675223840224</c:v>
                </c:pt>
                <c:pt idx="30">
                  <c:v>-12.316715282283553</c:v>
                </c:pt>
                <c:pt idx="31">
                  <c:v>-13.389986879820992</c:v>
                </c:pt>
                <c:pt idx="32">
                  <c:v>-14.493331140294369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2D0-4759-9ECC-C07DD0EE60EF}"/>
            </c:ext>
          </c:extLst>
        </c:ser>
        <c:ser>
          <c:idx val="9"/>
          <c:order val="9"/>
          <c:tx>
            <c:v>180 degrees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'Incident Angle Study'!$F$5:$F$37</c:f>
              <c:numCache>
                <c:formatCode>General</c:formatCode>
                <c:ptCount val="33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  <c:pt idx="17">
                  <c:v>285</c:v>
                </c:pt>
                <c:pt idx="18">
                  <c:v>290</c:v>
                </c:pt>
                <c:pt idx="19">
                  <c:v>295</c:v>
                </c:pt>
                <c:pt idx="20">
                  <c:v>300</c:v>
                </c:pt>
                <c:pt idx="21">
                  <c:v>305</c:v>
                </c:pt>
                <c:pt idx="22">
                  <c:v>310</c:v>
                </c:pt>
                <c:pt idx="23">
                  <c:v>315</c:v>
                </c:pt>
                <c:pt idx="24">
                  <c:v>320</c:v>
                </c:pt>
                <c:pt idx="25">
                  <c:v>325</c:v>
                </c:pt>
                <c:pt idx="26">
                  <c:v>330</c:v>
                </c:pt>
                <c:pt idx="27">
                  <c:v>335</c:v>
                </c:pt>
                <c:pt idx="28">
                  <c:v>340</c:v>
                </c:pt>
                <c:pt idx="29">
                  <c:v>345</c:v>
                </c:pt>
                <c:pt idx="30">
                  <c:v>350</c:v>
                </c:pt>
                <c:pt idx="31">
                  <c:v>355</c:v>
                </c:pt>
                <c:pt idx="32">
                  <c:v>360</c:v>
                </c:pt>
              </c:numCache>
            </c:numRef>
          </c:xVal>
          <c:yVal>
            <c:numRef>
              <c:f>'Incident Angle Study'!$Q$5:$Q$37</c:f>
              <c:numCache>
                <c:formatCode>General</c:formatCode>
                <c:ptCount val="33"/>
                <c:pt idx="0">
                  <c:v>9.6703470556721971</c:v>
                </c:pt>
                <c:pt idx="1">
                  <c:v>9.1617618614508487</c:v>
                </c:pt>
                <c:pt idx="2">
                  <c:v>8.643147806481819</c:v>
                </c:pt>
                <c:pt idx="3">
                  <c:v>8.1140097611277238</c:v>
                </c:pt>
                <c:pt idx="4">
                  <c:v>7.5738406649165402</c:v>
                </c:pt>
                <c:pt idx="5">
                  <c:v>7.0221215265416088</c:v>
                </c:pt>
                <c:pt idx="6">
                  <c:v>6.4583214238616389</c:v>
                </c:pt>
                <c:pt idx="7">
                  <c:v>5.8818975039006824</c:v>
                </c:pt>
                <c:pt idx="8">
                  <c:v>5.2922949828481798</c:v>
                </c:pt>
                <c:pt idx="9">
                  <c:v>4.6889471460589265</c:v>
                </c:pt>
                <c:pt idx="10">
                  <c:v>4.0712753480530814</c:v>
                </c:pt>
                <c:pt idx="11">
                  <c:v>3.4386890125161802</c:v>
                </c:pt>
                <c:pt idx="12">
                  <c:v>2.7905856322990825</c:v>
                </c:pt>
                <c:pt idx="13">
                  <c:v>2.1263507694180759</c:v>
                </c:pt>
                <c:pt idx="14">
                  <c:v>1.4453580550547596</c:v>
                </c:pt>
                <c:pt idx="15">
                  <c:v>0.74696918955609704</c:v>
                </c:pt>
                <c:pt idx="16">
                  <c:v>3.0533942434466832E-2</c:v>
                </c:pt>
                <c:pt idx="17">
                  <c:v>-0.70460984763245471</c:v>
                </c:pt>
                <c:pt idx="18">
                  <c:v>-1.4591362728015638</c:v>
                </c:pt>
                <c:pt idx="19">
                  <c:v>-2.2337313560644372</c:v>
                </c:pt>
                <c:pt idx="20">
                  <c:v>-3.029093051247294</c:v>
                </c:pt>
                <c:pt idx="21">
                  <c:v>-3.8459312430109325</c:v>
                </c:pt>
                <c:pt idx="22">
                  <c:v>-4.6849677468508393</c:v>
                </c:pt>
                <c:pt idx="23">
                  <c:v>-5.5469363090971404</c:v>
                </c:pt>
                <c:pt idx="24">
                  <c:v>-6.4325826069145426</c:v>
                </c:pt>
                <c:pt idx="25">
                  <c:v>-7.3426642483024596</c:v>
                </c:pt>
                <c:pt idx="26">
                  <c:v>-8.2779507720948704</c:v>
                </c:pt>
                <c:pt idx="27">
                  <c:v>-9.2392236479604435</c:v>
                </c:pt>
                <c:pt idx="28">
                  <c:v>-10.227276276402478</c:v>
                </c:pt>
                <c:pt idx="29">
                  <c:v>-11.242913988758866</c:v>
                </c:pt>
                <c:pt idx="30">
                  <c:v>-12.286954047202196</c:v>
                </c:pt>
                <c:pt idx="31">
                  <c:v>-13.360225644739632</c:v>
                </c:pt>
                <c:pt idx="32">
                  <c:v>-14.463569905213012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2D0-4759-9ECC-C07DD0EE6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015928"/>
        <c:axId val="1067019864"/>
      </c:scatterChart>
      <c:valAx>
        <c:axId val="1067015928"/>
        <c:scaling>
          <c:orientation val="minMax"/>
          <c:max val="285"/>
          <c:min val="2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Radiator Temperature Guess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019864"/>
        <c:crosses val="autoZero"/>
        <c:crossBetween val="midCat"/>
      </c:valAx>
      <c:valAx>
        <c:axId val="1067019864"/>
        <c:scaling>
          <c:orientation val="minMax"/>
          <c:max val="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Heat In/Out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015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Radiator Temperature</a:t>
            </a:r>
            <a:r>
              <a:rPr lang="en-US" baseline="0"/>
              <a:t> as a Function of Angle of Solar Incidence on Radiator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'Incident Angle Study'!$A$4:$A$13</c:f>
              <c:numCache>
                <c:formatCode>General</c:formatCode>
                <c:ptCount val="10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120</c:v>
                </c:pt>
                <c:pt idx="4">
                  <c:v>130</c:v>
                </c:pt>
                <c:pt idx="5">
                  <c:v>140</c:v>
                </c:pt>
                <c:pt idx="6">
                  <c:v>150</c:v>
                </c:pt>
                <c:pt idx="7">
                  <c:v>160</c:v>
                </c:pt>
                <c:pt idx="8">
                  <c:v>170</c:v>
                </c:pt>
                <c:pt idx="9">
                  <c:v>180</c:v>
                </c:pt>
              </c:numCache>
            </c:numRef>
          </c:xVal>
          <c:yVal>
            <c:numRef>
              <c:f>'Incident Angle Study'!$D$4:$D$13</c:f>
              <c:numCache>
                <c:formatCode>General</c:formatCode>
                <c:ptCount val="10"/>
                <c:pt idx="0">
                  <c:v>266.25991256083813</c:v>
                </c:pt>
                <c:pt idx="1">
                  <c:v>268.72653063893137</c:v>
                </c:pt>
                <c:pt idx="2">
                  <c:v>271.14826363360146</c:v>
                </c:pt>
                <c:pt idx="3">
                  <c:v>273.33532275548322</c:v>
                </c:pt>
                <c:pt idx="4">
                  <c:v>275.33791328965134</c:v>
                </c:pt>
                <c:pt idx="5">
                  <c:v>277.06658546537597</c:v>
                </c:pt>
                <c:pt idx="6">
                  <c:v>278.38143803006903</c:v>
                </c:pt>
                <c:pt idx="7">
                  <c:v>279.38859291069986</c:v>
                </c:pt>
                <c:pt idx="8">
                  <c:v>280.0053927229028</c:v>
                </c:pt>
                <c:pt idx="9">
                  <c:v>280.2130963164999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94-4808-9CF1-9279C9107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2938232"/>
        <c:axId val="1172930032"/>
      </c:scatterChart>
      <c:valAx>
        <c:axId val="1172938232"/>
        <c:scaling>
          <c:orientation val="minMax"/>
          <c:max val="18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Solar angle</a:t>
                </a:r>
                <a:r>
                  <a:rPr lang="en-US" baseline="0"/>
                  <a:t> of incidence on radiator (degrees)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930032"/>
        <c:crosses val="autoZero"/>
        <c:crossBetween val="midCat"/>
      </c:valAx>
      <c:valAx>
        <c:axId val="1172930032"/>
        <c:scaling>
          <c:orientation val="minMax"/>
          <c:min val="2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Radiator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93823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1</xdr:row>
      <xdr:rowOff>71437</xdr:rowOff>
    </xdr:from>
    <xdr:to>
      <xdr:col>13</xdr:col>
      <xdr:colOff>9525</xdr:colOff>
      <xdr:row>15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0D1D76-9181-869B-AB80-A9E24916D3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57150</xdr:rowOff>
    </xdr:from>
    <xdr:to>
      <xdr:col>11</xdr:col>
      <xdr:colOff>29519</xdr:colOff>
      <xdr:row>10</xdr:row>
      <xdr:rowOff>95495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1C310D-2317-2D07-7C06-BDC2A06DC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247650"/>
          <a:ext cx="6763694" cy="1752845"/>
        </a:xfrm>
        <a:prstGeom prst="rect">
          <a:avLst/>
        </a:prstGeom>
      </xdr:spPr>
    </xdr:pic>
    <xdr:clientData/>
  </xdr:twoCellAnchor>
  <xdr:twoCellAnchor>
    <xdr:from>
      <xdr:col>13</xdr:col>
      <xdr:colOff>200024</xdr:colOff>
      <xdr:row>4</xdr:row>
      <xdr:rowOff>85725</xdr:rowOff>
    </xdr:from>
    <xdr:to>
      <xdr:col>23</xdr:col>
      <xdr:colOff>304799</xdr:colOff>
      <xdr:row>21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CB1712-D11E-7060-ACCE-EE1F32187C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142875</xdr:colOff>
      <xdr:row>0</xdr:row>
      <xdr:rowOff>133350</xdr:rowOff>
    </xdr:from>
    <xdr:to>
      <xdr:col>23</xdr:col>
      <xdr:colOff>504825</xdr:colOff>
      <xdr:row>19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367750-0541-4346-AB5D-5AF4CA36E3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209550</xdr:colOff>
      <xdr:row>1</xdr:row>
      <xdr:rowOff>133350</xdr:rowOff>
    </xdr:from>
    <xdr:to>
      <xdr:col>42</xdr:col>
      <xdr:colOff>476250</xdr:colOff>
      <xdr:row>24</xdr:row>
      <xdr:rowOff>104775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48CE74F9-CA8F-4363-94A4-DCDB286C56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247650</xdr:colOff>
      <xdr:row>25</xdr:row>
      <xdr:rowOff>133350</xdr:rowOff>
    </xdr:from>
    <xdr:to>
      <xdr:col>44</xdr:col>
      <xdr:colOff>523875</xdr:colOff>
      <xdr:row>87</xdr:row>
      <xdr:rowOff>38100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CABE1405-1D15-4D1D-9E46-E909D23979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50325" y="4352925"/>
          <a:ext cx="6981825" cy="10010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133350</xdr:colOff>
      <xdr:row>61</xdr:row>
      <xdr:rowOff>142875</xdr:rowOff>
    </xdr:from>
    <xdr:to>
      <xdr:col>11</xdr:col>
      <xdr:colOff>742950</xdr:colOff>
      <xdr:row>84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5C9DD6F-F84B-488E-8FC9-54DE586CC7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20</xdr:row>
      <xdr:rowOff>0</xdr:rowOff>
    </xdr:from>
    <xdr:to>
      <xdr:col>18</xdr:col>
      <xdr:colOff>19050</xdr:colOff>
      <xdr:row>30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E861B7-397F-3952-8497-97ABB41838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28575</xdr:colOff>
      <xdr:row>5</xdr:row>
      <xdr:rowOff>14287</xdr:rowOff>
    </xdr:from>
    <xdr:to>
      <xdr:col>18</xdr:col>
      <xdr:colOff>28575</xdr:colOff>
      <xdr:row>19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76CB08-6D18-EEAE-61BF-781E51117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119062</xdr:rowOff>
    </xdr:from>
    <xdr:to>
      <xdr:col>5</xdr:col>
      <xdr:colOff>104775</xdr:colOff>
      <xdr:row>33</xdr:row>
      <xdr:rowOff>4762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C9CE36-1403-B566-1EA5-319669395D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</xdr:colOff>
      <xdr:row>32</xdr:row>
      <xdr:rowOff>119062</xdr:rowOff>
    </xdr:from>
    <xdr:to>
      <xdr:col>6</xdr:col>
      <xdr:colOff>414337</xdr:colOff>
      <xdr:row>47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1D1833-E7A4-6DF4-A5E4-49C9E51C59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irmi\AppData\Roaming\Microsoft\Excel\TEC_Sizing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C_Sizing"/>
    </sheetNames>
    <sheetDataSet>
      <sheetData sheetId="0">
        <row r="2">
          <cell r="E2" t="str">
            <v>Predicted TEC performance for Thot = 28, Imax = 2.5</v>
          </cell>
        </row>
        <row r="17">
          <cell r="B17" t="str">
            <v>DT(Q=0.0000)</v>
          </cell>
          <cell r="C17" t="str">
            <v>DT(Q=1.3043)</v>
          </cell>
          <cell r="D17" t="str">
            <v>DT(Q=2.6087)</v>
          </cell>
          <cell r="E17" t="str">
            <v>DT(Q=3.9130)</v>
          </cell>
          <cell r="F17" t="str">
            <v>DT(Q=5.2174)</v>
          </cell>
          <cell r="G17" t="str">
            <v>DT(Q=6.5217)</v>
          </cell>
          <cell r="H17" t="str">
            <v>DT(Q=7.8261)</v>
          </cell>
          <cell r="I17" t="str">
            <v>DT(Q=9.1304)</v>
          </cell>
          <cell r="J17" t="str">
            <v>DT(Q=10.4348)</v>
          </cell>
          <cell r="K17" t="str">
            <v>DT(Q=11.7391)</v>
          </cell>
        </row>
        <row r="63">
          <cell r="A63">
            <v>0</v>
          </cell>
          <cell r="B63">
            <v>0</v>
          </cell>
          <cell r="C63">
            <v>0</v>
          </cell>
        </row>
        <row r="64">
          <cell r="A64">
            <v>0.125</v>
          </cell>
          <cell r="B64">
            <v>0.74191304347826093</v>
          </cell>
          <cell r="C64">
            <v>0.41217391304347828</v>
          </cell>
        </row>
        <row r="65">
          <cell r="A65">
            <v>0.25</v>
          </cell>
          <cell r="B65">
            <v>1.2365217391304348</v>
          </cell>
          <cell r="C65">
            <v>0.74191304347826093</v>
          </cell>
        </row>
        <row r="66">
          <cell r="A66">
            <v>0.375</v>
          </cell>
          <cell r="B66">
            <v>1.7311304347826086</v>
          </cell>
          <cell r="C66">
            <v>1.0716521739130436</v>
          </cell>
        </row>
        <row r="67">
          <cell r="A67">
            <v>0.5</v>
          </cell>
          <cell r="B67">
            <v>2.2669565217391305</v>
          </cell>
          <cell r="C67">
            <v>1.3601739130434785</v>
          </cell>
        </row>
        <row r="68">
          <cell r="A68">
            <v>0.625</v>
          </cell>
          <cell r="B68">
            <v>2.6791304347826088</v>
          </cell>
          <cell r="C68">
            <v>1.7311304347826086</v>
          </cell>
        </row>
        <row r="69">
          <cell r="A69">
            <v>0.75</v>
          </cell>
          <cell r="B69">
            <v>3.1325217391304347</v>
          </cell>
          <cell r="C69">
            <v>2.1433043478260871</v>
          </cell>
        </row>
        <row r="70">
          <cell r="A70">
            <v>0.875</v>
          </cell>
          <cell r="B70">
            <v>3.544695652173913</v>
          </cell>
          <cell r="C70">
            <v>2.4730434782608697</v>
          </cell>
        </row>
        <row r="71">
          <cell r="A71">
            <v>1</v>
          </cell>
          <cell r="B71">
            <v>4.0393043478260875</v>
          </cell>
          <cell r="C71">
            <v>2.885217391304348</v>
          </cell>
        </row>
        <row r="72">
          <cell r="A72">
            <v>1.125</v>
          </cell>
          <cell r="B72">
            <v>4.4514782608695658</v>
          </cell>
          <cell r="C72">
            <v>3.2973913043478262</v>
          </cell>
        </row>
        <row r="73">
          <cell r="A73">
            <v>1.25</v>
          </cell>
          <cell r="B73">
            <v>4.8224347826086955</v>
          </cell>
          <cell r="C73">
            <v>3.7095652173913045</v>
          </cell>
        </row>
        <row r="74">
          <cell r="A74">
            <v>1.375</v>
          </cell>
          <cell r="B74">
            <v>5.1933913043478261</v>
          </cell>
          <cell r="C74">
            <v>4.1217391304347828</v>
          </cell>
        </row>
        <row r="75">
          <cell r="A75">
            <v>1.5</v>
          </cell>
          <cell r="B75">
            <v>5.6055652173913053</v>
          </cell>
          <cell r="C75">
            <v>4.5339130434782611</v>
          </cell>
        </row>
        <row r="76">
          <cell r="A76">
            <v>1.625</v>
          </cell>
          <cell r="B76">
            <v>5.8940869565217389</v>
          </cell>
          <cell r="C76">
            <v>4.9460869565217394</v>
          </cell>
        </row>
        <row r="77">
          <cell r="A77">
            <v>1.75</v>
          </cell>
          <cell r="B77">
            <v>6.2650434782608695</v>
          </cell>
          <cell r="C77">
            <v>5.3582608695652176</v>
          </cell>
        </row>
        <row r="78">
          <cell r="A78">
            <v>1.875</v>
          </cell>
          <cell r="B78">
            <v>6.5947826086956525</v>
          </cell>
          <cell r="C78">
            <v>5.7704347826086959</v>
          </cell>
        </row>
        <row r="79">
          <cell r="A79">
            <v>2</v>
          </cell>
          <cell r="B79">
            <v>6.9657391304347831</v>
          </cell>
          <cell r="C79">
            <v>6.2238260869565218</v>
          </cell>
        </row>
        <row r="80">
          <cell r="A80">
            <v>2.125</v>
          </cell>
          <cell r="B80">
            <v>7.2542608695652175</v>
          </cell>
          <cell r="C80">
            <v>6.6772173913043487</v>
          </cell>
        </row>
        <row r="81">
          <cell r="A81">
            <v>2.25</v>
          </cell>
          <cell r="B81">
            <v>7.5427826086956529</v>
          </cell>
          <cell r="C81">
            <v>7.1306086956521746</v>
          </cell>
        </row>
        <row r="82">
          <cell r="A82">
            <v>2.375</v>
          </cell>
          <cell r="B82">
            <v>7.872521739130435</v>
          </cell>
          <cell r="C82">
            <v>7.5015652173913052</v>
          </cell>
        </row>
        <row r="83">
          <cell r="A83">
            <v>2.5</v>
          </cell>
          <cell r="B83">
            <v>8.2434782608695656</v>
          </cell>
          <cell r="C83">
            <v>7.9961739130434788</v>
          </cell>
        </row>
        <row r="88">
          <cell r="A88">
            <v>0</v>
          </cell>
          <cell r="B88">
            <v>0.48895824175430036</v>
          </cell>
          <cell r="C88">
            <v>-7.2133234689933623</v>
          </cell>
          <cell r="D88">
            <v>-18.159762890917069</v>
          </cell>
          <cell r="E88">
            <v>-26.066480565829622</v>
          </cell>
          <cell r="F88">
            <v>-45.515559749427652</v>
          </cell>
          <cell r="G88">
            <v>-97.203383358127752</v>
          </cell>
          <cell r="H88">
            <v>-88.047117454985226</v>
          </cell>
          <cell r="I88">
            <v>-170.59783988943036</v>
          </cell>
          <cell r="J88">
            <v>-974.87022644615956</v>
          </cell>
          <cell r="K88">
            <v>-76.378405426442953</v>
          </cell>
        </row>
        <row r="89">
          <cell r="A89">
            <v>0.05</v>
          </cell>
          <cell r="B89">
            <v>4.0892236811062119</v>
          </cell>
          <cell r="C89">
            <v>-4.0076509157439961</v>
          </cell>
          <cell r="D89">
            <v>-15.082366519845861</v>
          </cell>
          <cell r="E89">
            <v>-22.91821414238002</v>
          </cell>
          <cell r="F89">
            <v>-40.952465100567423</v>
          </cell>
          <cell r="G89">
            <v>-87.606230564590405</v>
          </cell>
          <cell r="H89">
            <v>-80.906275791811865</v>
          </cell>
          <cell r="I89">
            <v>-157.06937623588419</v>
          </cell>
          <cell r="J89">
            <v>-887.21321556581597</v>
          </cell>
          <cell r="K89">
            <v>-73.313718924242821</v>
          </cell>
        </row>
        <row r="90">
          <cell r="A90">
            <v>0.1</v>
          </cell>
          <cell r="B90">
            <v>7.5033811809229709</v>
          </cell>
          <cell r="C90">
            <v>-0.92292972699314735</v>
          </cell>
          <cell r="D90">
            <v>-12.076961569928464</v>
          </cell>
          <cell r="E90">
            <v>-19.852657940283017</v>
          </cell>
          <cell r="F90">
            <v>-36.600389135292353</v>
          </cell>
          <cell r="G90">
            <v>-78.648505287852444</v>
          </cell>
          <cell r="H90">
            <v>-74.145037370942688</v>
          </cell>
          <cell r="I90">
            <v>-144.34287317795258</v>
          </cell>
          <cell r="J90">
            <v>-805.6294431396251</v>
          </cell>
          <cell r="K90">
            <v>-70.306334132897163</v>
          </cell>
        </row>
        <row r="91">
          <cell r="A91">
            <v>0.15000000000000002</v>
          </cell>
          <cell r="B91">
            <v>10.741105456486741</v>
          </cell>
          <cell r="C91">
            <v>2.0452848135288697</v>
          </cell>
          <cell r="D91">
            <v>-9.1440689168285925</v>
          </cell>
          <cell r="E91">
            <v>-16.869106004159125</v>
          </cell>
          <cell r="F91">
            <v>-32.450687098542119</v>
          </cell>
          <cell r="G91">
            <v>-70.297469024732322</v>
          </cell>
          <cell r="H91">
            <v>-67.748106746580305</v>
          </cell>
          <cell r="I91">
            <v>-132.38333081283625</v>
          </cell>
          <cell r="J91">
            <v>-729.82912804893908</v>
          </cell>
          <cell r="K91">
            <v>-67.35625105240598</v>
          </cell>
        </row>
        <row r="92">
          <cell r="A92">
            <v>0.2</v>
          </cell>
          <cell r="B92">
            <v>13.811734015260367</v>
          </cell>
          <cell r="C92">
            <v>4.901292446708748</v>
          </cell>
          <cell r="D92">
            <v>-6.2841441082814242</v>
          </cell>
          <cell r="E92">
            <v>-13.966844227111352</v>
          </cell>
          <cell r="F92">
            <v>-28.494950119793792</v>
          </cell>
          <cell r="G92">
            <v>-62.521287465231723</v>
          </cell>
          <cell r="H92">
            <v>-61.700525070389688</v>
          </cell>
          <cell r="I92">
            <v>-121.15657203153282</v>
          </cell>
          <cell r="J92">
            <v>-659.52958764159393</v>
          </cell>
          <cell r="K92">
            <v>-64.463469682769272</v>
          </cell>
        </row>
        <row r="93">
          <cell r="A93">
            <v>0.25</v>
          </cell>
          <cell r="B93">
            <v>16.724267156887375</v>
          </cell>
          <cell r="C93">
            <v>7.6492479380501948</v>
          </cell>
          <cell r="D93">
            <v>-3.4975773640935977</v>
          </cell>
          <cell r="E93">
            <v>-11.145150350725221</v>
          </cell>
          <cell r="F93">
            <v>-24.725005213061905</v>
          </cell>
          <cell r="G93">
            <v>-55.289030492535545</v>
          </cell>
          <cell r="H93">
            <v>-55.987670091498174</v>
          </cell>
          <cell r="I93">
            <v>-110.62924251883673</v>
          </cell>
          <cell r="J93">
            <v>-594.45523773190996</v>
          </cell>
          <cell r="K93">
            <v>-61.627990023987039</v>
          </cell>
        </row>
        <row r="94">
          <cell r="A94">
            <v>0.3</v>
          </cell>
          <cell r="B94">
            <v>19.487367973191983</v>
          </cell>
          <cell r="C94">
            <v>10.293161077673926</v>
          </cell>
          <cell r="D94">
            <v>-0.78469357614320501</v>
          </cell>
          <cell r="E94">
            <v>-8.4032939650687624</v>
          </cell>
          <cell r="F94">
            <v>-21.132915276898416</v>
          </cell>
          <cell r="G94">
            <v>-48.570672183011879</v>
          </cell>
          <cell r="H94">
            <v>-50.595256156495466</v>
          </cell>
          <cell r="I94">
            <v>-100.76881075333937</v>
          </cell>
          <cell r="J94">
            <v>-534.33759260069132</v>
          </cell>
          <cell r="K94">
            <v>-58.84981207605928</v>
          </cell>
        </row>
        <row r="95">
          <cell r="A95">
            <v>0.35</v>
          </cell>
          <cell r="B95">
            <v>22.109362348179086</v>
          </cell>
          <cell r="C95">
            <v>12.836896680317661</v>
          </cell>
          <cell r="D95">
            <v>1.8542476916201913</v>
          </cell>
          <cell r="E95">
            <v>-5.7405365086925073</v>
          </cell>
          <cell r="F95">
            <v>-17.710979094392719</v>
          </cell>
          <cell r="G95">
            <v>-42.337090806212011</v>
          </cell>
          <cell r="H95">
            <v>-45.509334209433618</v>
          </cell>
          <cell r="I95">
            <v>-91.543568007428959</v>
          </cell>
          <cell r="J95">
            <v>-478.91526499522598</v>
          </cell>
          <cell r="K95">
            <v>-56.128935838985996</v>
          </cell>
        </row>
        <row r="96">
          <cell r="A96">
            <v>0.39999999999999997</v>
          </cell>
          <cell r="B96">
            <v>24.598238958034269</v>
          </cell>
          <cell r="C96">
            <v>15.284174585336139</v>
          </cell>
          <cell r="D96">
            <v>4.4190522031755783</v>
          </cell>
          <cell r="E96">
            <v>-3.1561312686295047</v>
          </cell>
          <cell r="F96">
            <v>-14.451731333171651</v>
          </cell>
          <cell r="G96">
            <v>-36.56006882487047</v>
          </cell>
          <cell r="H96">
            <v>-40.716291791827047</v>
          </cell>
          <cell r="I96">
            <v>-82.92262834729064</v>
          </cell>
          <cell r="J96">
            <v>-427.93396612928655</v>
          </cell>
          <cell r="K96">
            <v>-53.465361312767186</v>
          </cell>
        </row>
        <row r="97">
          <cell r="A97">
            <v>0.44999999999999996</v>
          </cell>
          <cell r="B97">
            <v>26.961649271123779</v>
          </cell>
          <cell r="C97">
            <v>17.638569656701105</v>
          </cell>
          <cell r="D97">
            <v>6.9095910504304747</v>
          </cell>
          <cell r="E97">
            <v>-0.64932338039530535</v>
          </cell>
          <cell r="F97">
            <v>-11.347942545399462</v>
          </cell>
          <cell r="G97">
            <v>-31.212292894904976</v>
          </cell>
          <cell r="H97">
            <v>-36.202853042652535</v>
          </cell>
          <cell r="I97">
            <v>-74.875928632906422</v>
          </cell>
          <cell r="J97">
            <v>-381.14650568312902</v>
          </cell>
          <cell r="K97">
            <v>-50.859088497402851</v>
          </cell>
        </row>
        <row r="98">
          <cell r="A98">
            <v>0.49999999999999994</v>
          </cell>
          <cell r="B98">
            <v>29.206907547994575</v>
          </cell>
          <cell r="C98">
            <v>19.903511783001303</v>
          </cell>
          <cell r="D98">
            <v>9.325800653220945</v>
          </cell>
          <cell r="E98">
            <v>1.7806501720120345</v>
          </cell>
          <cell r="F98">
            <v>-8.3926191677778661</v>
          </cell>
          <cell r="G98">
            <v>-26.267353865416439</v>
          </cell>
          <cell r="H98">
            <v>-31.956078698349231</v>
          </cell>
          <cell r="I98">
            <v>-67.374228518055219</v>
          </cell>
          <cell r="J98">
            <v>-338.31279180349395</v>
          </cell>
          <cell r="K98">
            <v>-48.310117392892991</v>
          </cell>
        </row>
        <row r="99">
          <cell r="A99">
            <v>0.54999999999999993</v>
          </cell>
          <cell r="B99">
            <v>31.340990841374296</v>
          </cell>
          <cell r="C99">
            <v>22.082285877442509</v>
          </cell>
          <cell r="D99">
            <v>11.667682759311585</v>
          </cell>
          <cell r="E99">
            <v>4.1345605561119427</v>
          </cell>
          <cell r="F99">
            <v>-5.5790035215459923</v>
          </cell>
          <cell r="G99">
            <v>-21.69974677868899</v>
          </cell>
          <cell r="H99">
            <v>-27.963366092818632</v>
          </cell>
          <cell r="I99">
            <v>-60.389110450312785</v>
          </cell>
          <cell r="J99">
            <v>-299.19983110360556</v>
          </cell>
          <cell r="K99">
            <v>-45.818447999237605</v>
          </cell>
        </row>
        <row r="100">
          <cell r="A100">
            <v>0.6</v>
          </cell>
          <cell r="B100">
            <v>33.370538996171234</v>
          </cell>
          <cell r="C100">
            <v>24.178031877847495</v>
          </cell>
          <cell r="D100">
            <v>13.935304444395545</v>
          </cell>
          <cell r="E100">
            <v>6.4131870909413493</v>
          </cell>
          <cell r="F100">
            <v>-2.9005738124804026</v>
          </cell>
          <cell r="G100">
            <v>-17.484870870189994</v>
          </cell>
          <cell r="H100">
            <v>-24.212449157424608</v>
          </cell>
          <cell r="I100">
            <v>-53.892979671051819</v>
          </cell>
          <cell r="J100">
            <v>-263.5817286631725</v>
          </cell>
          <cell r="K100">
            <v>-43.384080316436687</v>
          </cell>
        </row>
        <row r="101">
          <cell r="A101">
            <v>0.65</v>
          </cell>
          <cell r="B101">
            <v>35.301854649474407</v>
          </cell>
          <cell r="C101">
            <v>26.193744746656034</v>
          </cell>
          <cell r="D101">
            <v>16.128798112094497</v>
          </cell>
          <cell r="E101">
            <v>8.6173172470546788</v>
          </cell>
          <cell r="F101">
            <v>-0.35104413089511866</v>
          </cell>
          <cell r="G101">
            <v>-13.599029568569961</v>
          </cell>
          <cell r="H101">
            <v>-20.691398420993394</v>
          </cell>
          <cell r="I101">
            <v>-47.859064215441862</v>
          </cell>
          <cell r="J101">
            <v>-231.23968802838681</v>
          </cell>
          <cell r="K101">
            <v>-41.007014344490244</v>
          </cell>
        </row>
        <row r="102">
          <cell r="A102">
            <v>0.70000000000000007</v>
          </cell>
          <cell r="B102">
            <v>37.140903230553477</v>
          </cell>
          <cell r="C102">
            <v>28.13227447092493</v>
          </cell>
          <cell r="D102">
            <v>18.248361493958658</v>
          </cell>
          <cell r="E102">
            <v>10.747746646523822</v>
          </cell>
          <cell r="F102">
            <v>2.0756355483584343</v>
          </cell>
          <cell r="G102">
            <v>-10.019430495662675</v>
          </cell>
          <cell r="H102">
            <v>-17.38862100981359</v>
          </cell>
          <cell r="I102">
            <v>-42.261414912449339</v>
          </cell>
          <cell r="J102">
            <v>-201.96201121192519</v>
          </cell>
          <cell r="K102">
            <v>-38.687250083398283</v>
          </cell>
        </row>
        <row r="103">
          <cell r="A103">
            <v>0.75000000000000011</v>
          </cell>
          <cell r="B103">
            <v>38.893312960858836</v>
          </cell>
          <cell r="C103">
            <v>29.99632606232797</v>
          </cell>
          <cell r="D103">
            <v>20.29425764946679</v>
          </cell>
          <cell r="E103">
            <v>12.805279062938205</v>
          </cell>
          <cell r="F103">
            <v>4.385279365891364</v>
          </cell>
          <cell r="G103">
            <v>-6.7241854664851246</v>
          </cell>
          <cell r="H103">
            <v>-14.292860647636132</v>
          </cell>
          <cell r="I103">
            <v>-37.074905384837592</v>
          </cell>
          <cell r="J103">
            <v>-175.54409869294818</v>
          </cell>
          <cell r="K103">
            <v>-36.424787533160789</v>
          </cell>
        </row>
        <row r="104">
          <cell r="A104">
            <v>0.80000000000000016</v>
          </cell>
          <cell r="B104">
            <v>40.564374854021509</v>
          </cell>
          <cell r="C104">
            <v>31.788459557155971</v>
          </cell>
          <cell r="D104">
            <v>22.266814966026207</v>
          </cell>
          <cell r="E104">
            <v>14.790726421404706</v>
          </cell>
          <cell r="F104">
            <v>6.5834655777773676</v>
          </cell>
          <cell r="G104">
            <v>-3.6923104892374283</v>
          </cell>
          <cell r="H104">
            <v>-11.393197655674328</v>
          </cell>
          <cell r="I104">
            <v>-32.275232049166817</v>
          </cell>
          <cell r="J104">
            <v>-151.7884494171002</v>
          </cell>
          <cell r="K104">
            <v>-34.219626693777769</v>
          </cell>
        </row>
        <row r="105">
          <cell r="A105">
            <v>0.8500000000000002</v>
          </cell>
          <cell r="B105">
            <v>42.159042715853218</v>
          </cell>
          <cell r="C105">
            <v>33.511090016316771</v>
          </cell>
          <cell r="D105">
            <v>24.166427158972727</v>
          </cell>
          <cell r="E105">
            <v>16.704908798547706</v>
          </cell>
          <cell r="F105">
            <v>8.6755365555527035</v>
          </cell>
          <cell r="G105">
            <v>-0.90372576530296556</v>
          </cell>
          <cell r="H105">
            <v>-8.6790489526038783</v>
          </cell>
          <cell r="I105">
            <v>-27.838914115794097</v>
          </cell>
          <cell r="J105">
            <v>-130.50466079650982</v>
          </cell>
          <cell r="K105">
            <v>-32.071767565249225</v>
          </cell>
        </row>
        <row r="106">
          <cell r="A106">
            <v>0.90000000000000024</v>
          </cell>
          <cell r="B106">
            <v>43.681933144346402</v>
          </cell>
          <cell r="C106">
            <v>35.166487525335171</v>
          </cell>
          <cell r="D106">
            <v>25.993553271570729</v>
          </cell>
          <cell r="E106">
            <v>18.548654422509102</v>
          </cell>
          <cell r="F106">
            <v>10.666598786216177</v>
          </cell>
          <cell r="G106">
            <v>1.6607443107516389</v>
          </cell>
          <cell r="H106">
            <v>-6.1401680545628068</v>
          </cell>
          <cell r="I106">
            <v>-23.743293588873428</v>
          </cell>
          <cell r="J106">
            <v>-111.50942870978997</v>
          </cell>
          <cell r="K106">
            <v>-29.981210147575148</v>
          </cell>
        </row>
        <row r="107">
          <cell r="A107">
            <v>0.95000000000000029</v>
          </cell>
          <cell r="B107">
            <v>45.137325529674143</v>
          </cell>
          <cell r="C107">
            <v>36.756777194353035</v>
          </cell>
          <cell r="D107">
            <v>27.74871767501315</v>
          </cell>
          <cell r="E107">
            <v>20.322799672948264</v>
          </cell>
          <cell r="F107">
            <v>12.56152287222919</v>
          </cell>
          <cell r="G107">
            <v>4.0193711511766139</v>
          </cell>
          <cell r="H107">
            <v>-3.7666450751515299</v>
          </cell>
          <cell r="I107">
            <v>-19.966535266355663</v>
          </cell>
          <cell r="J107">
            <v>-94.626547502036715</v>
          </cell>
          <cell r="K107">
            <v>-27.947954440755552</v>
          </cell>
        </row>
        <row r="108">
          <cell r="A108">
            <v>1.0000000000000002</v>
          </cell>
          <cell r="B108">
            <v>46.529162054190238</v>
          </cell>
          <cell r="C108">
            <v>38.283939158129215</v>
          </cell>
          <cell r="D108">
            <v>29.432510068421426</v>
          </cell>
          <cell r="E108">
            <v>22.028189081042044</v>
          </cell>
          <cell r="F108">
            <v>14.364943531515678</v>
          </cell>
          <cell r="G108">
            <v>6.1895219750389572</v>
          </cell>
          <cell r="H108">
            <v>-1.5489067254328006</v>
          </cell>
          <cell r="I108">
            <v>-16.487626739988542</v>
          </cell>
          <cell r="J108">
            <v>-79.686909984831232</v>
          </cell>
          <cell r="K108">
            <v>-25.972000444790439</v>
          </cell>
        </row>
        <row r="109">
          <cell r="A109">
            <v>1.0500000000000003</v>
          </cell>
          <cell r="B109">
            <v>47.861047692429139</v>
          </cell>
          <cell r="C109">
            <v>39.749808576039555</v>
          </cell>
          <cell r="D109">
            <v>31.045585478845563</v>
          </cell>
          <cell r="E109">
            <v>23.665675329484799</v>
          </cell>
          <cell r="F109">
            <v>16.081259597462171</v>
          </cell>
          <cell r="G109">
            <v>8.1876598082224632</v>
          </cell>
          <cell r="H109">
            <v>0.52228368606827758</v>
          </cell>
          <cell r="I109">
            <v>-13.28637839531666</v>
          </cell>
          <cell r="J109">
            <v>-66.528507436238328</v>
          </cell>
          <cell r="K109">
            <v>-24.053348159679793</v>
          </cell>
        </row>
        <row r="110">
          <cell r="A110">
            <v>1.1000000000000003</v>
          </cell>
          <cell r="B110">
            <v>49.136250211106017</v>
          </cell>
          <cell r="C110">
            <v>41.15607563207692</v>
          </cell>
          <cell r="D110">
            <v>32.5886642612641</v>
          </cell>
          <cell r="E110">
            <v>25.236119252488393</v>
          </cell>
          <cell r="F110">
            <v>17.714634018917735</v>
          </cell>
          <cell r="G110">
            <v>10.029343483427652</v>
          </cell>
          <cell r="H110">
            <v>2.4558262533641653</v>
          </cell>
          <cell r="I110">
            <v>-10.343423411681613</v>
          </cell>
          <cell r="J110">
            <v>-54.996429600805982</v>
          </cell>
          <cell r="K110">
            <v>-22.191997585423614</v>
          </cell>
        </row>
        <row r="111">
          <cell r="A111">
            <v>1.1500000000000004</v>
          </cell>
          <cell r="B111">
            <v>50.357700169116669</v>
          </cell>
          <cell r="C111">
            <v>42.504285534851221</v>
          </cell>
          <cell r="D111">
            <v>34.062532098584114</v>
          </cell>
          <cell r="E111">
            <v>26.74038983578216</v>
          </cell>
          <cell r="F111">
            <v>19.268993860194016</v>
          </cell>
          <cell r="G111">
            <v>11.729227640172041</v>
          </cell>
          <cell r="H111">
            <v>4.2602844730050577</v>
          </cell>
          <cell r="I111">
            <v>-7.6402177622217096</v>
          </cell>
          <cell r="J111">
            <v>-44.942864689568182</v>
          </cell>
          <cell r="K111">
            <v>-20.387948722021925</v>
          </cell>
        </row>
        <row r="112">
          <cell r="A112">
            <v>1.2000000000000004</v>
          </cell>
          <cell r="B112">
            <v>51.527990917537636</v>
          </cell>
          <cell r="C112">
            <v>43.795838517589331</v>
          </cell>
          <cell r="D112">
            <v>35.468040001641228</v>
          </cell>
          <cell r="E112">
            <v>28.179364216612939</v>
          </cell>
          <cell r="F112">
            <v>20.748030301065214</v>
          </cell>
          <cell r="G112">
            <v>13.301062724789631</v>
          </cell>
          <cell r="H112">
            <v>5.9438852440787002</v>
          </cell>
          <cell r="I112">
            <v>-5.1590402138723164</v>
          </cell>
          <cell r="J112">
            <v>-36.227099380040613</v>
          </cell>
          <cell r="K112">
            <v>-18.641201569474696</v>
          </cell>
        </row>
        <row r="113">
          <cell r="A113">
            <v>1.2500000000000004</v>
          </cell>
          <cell r="B113">
            <v>52.649378599626132</v>
          </cell>
          <cell r="C113">
            <v>45.031989838135146</v>
          </cell>
          <cell r="D113">
            <v>36.806104309199583</v>
          </cell>
          <cell r="E113">
            <v>29.553927683745044</v>
          </cell>
          <cell r="F113">
            <v>22.15519863676812</v>
          </cell>
          <cell r="G113">
            <v>14.757694990431531</v>
          </cell>
          <cell r="H113">
            <v>7.5145188682106152</v>
          </cell>
          <cell r="I113">
            <v>-2.8829923273654856</v>
          </cell>
          <cell r="J113">
            <v>-28.715518816224517</v>
          </cell>
          <cell r="K113">
            <v>-16.951756127781955</v>
          </cell>
        </row>
        <row r="114">
          <cell r="A114">
            <v>1.3000000000000005</v>
          </cell>
          <cell r="B114">
            <v>53.723782150819986</v>
          </cell>
          <cell r="C114">
            <v>46.213849778949552</v>
          </cell>
          <cell r="D114">
            <v>38.077706687951874</v>
          </cell>
          <cell r="E114">
            <v>30.864973677460306</v>
          </cell>
          <cell r="F114">
            <v>23.493718278002063</v>
          </cell>
          <cell r="G114">
            <v>16.111066497065423</v>
          </cell>
          <cell r="H114">
            <v>8.9797390495637615</v>
          </cell>
          <cell r="I114">
            <v>-0.79599845723038243</v>
          </cell>
          <cell r="J114">
            <v>-22.281606608604875</v>
          </cell>
          <cell r="K114">
            <v>-15.319612396943668</v>
          </cell>
        </row>
        <row r="115">
          <cell r="A115">
            <v>1.3500000000000005</v>
          </cell>
          <cell r="B115">
            <v>54.75278329873781</v>
          </cell>
          <cell r="C115">
            <v>47.342383647110523</v>
          </cell>
          <cell r="D115">
            <v>39.283894132519336</v>
          </cell>
          <cell r="E115">
            <v>32.113403789558021</v>
          </cell>
          <cell r="F115">
            <v>24.766572750928944</v>
          </cell>
          <cell r="G115">
            <v>17.372215111475839</v>
          </cell>
          <cell r="H115">
            <v>10.346762894838918</v>
          </cell>
          <cell r="I115">
            <v>1.1171942482071415</v>
          </cell>
          <cell r="J115">
            <v>-16.805944834150409</v>
          </cell>
        </row>
        <row r="116">
          <cell r="A116">
            <v>1.4000000000000006</v>
          </cell>
          <cell r="B116">
            <v>55.737626563178864</v>
          </cell>
          <cell r="C116">
            <v>48.418411774312943</v>
          </cell>
          <cell r="D116">
            <v>40.425778965451755</v>
          </cell>
          <cell r="E116">
            <v>33.300127763355007</v>
          </cell>
          <cell r="F116">
            <v>25.976509697173228</v>
          </cell>
          <cell r="G116">
            <v>18.551274507264168</v>
          </cell>
          <cell r="H116">
            <v>11.622470913274398</v>
          </cell>
          <cell r="I116">
            <v>2.8710158468242071</v>
          </cell>
          <cell r="J116">
            <v>-12.176214036314491</v>
          </cell>
        </row>
        <row r="117">
          <cell r="A117">
            <v>1.4500000000000006</v>
          </cell>
          <cell r="B117">
            <v>56.679219256123034</v>
          </cell>
          <cell r="C117">
            <v>49.442609516868757</v>
          </cell>
          <cell r="D117">
            <v>41.504538837227429</v>
          </cell>
          <cell r="E117">
            <v>34.426063493685554</v>
          </cell>
          <cell r="F117">
            <v>27.126040873821964</v>
          </cell>
          <cell r="G117">
            <v>19.657474164848509</v>
          </cell>
          <cell r="H117">
            <v>12.813407016646181</v>
          </cell>
          <cell r="I117">
            <v>4.4790736027011349</v>
          </cell>
          <cell r="J117">
            <v>-8.2871932250344571</v>
          </cell>
        </row>
        <row r="118">
          <cell r="A118">
            <v>1.5000000000000007</v>
          </cell>
          <cell r="B118">
            <v>57.578131481730978</v>
          </cell>
          <cell r="C118">
            <v>50.415507255706913</v>
          </cell>
          <cell r="D118">
            <v>42.521416726253221</v>
          </cell>
          <cell r="E118">
            <v>35.492137026901453</v>
          </cell>
          <cell r="F118">
            <v>28.217442153424741</v>
          </cell>
          <cell r="G118">
            <v>20.699139371463758</v>
          </cell>
          <cell r="H118">
            <v>13.925778519267865</v>
          </cell>
          <cell r="I118">
            <v>5.9541519861213033</v>
          </cell>
          <cell r="J118">
            <v>-5.0407598767297941</v>
          </cell>
        </row>
        <row r="119">
          <cell r="A119">
            <v>1.5500000000000007</v>
          </cell>
          <cell r="B119">
            <v>58.434596136343998</v>
          </cell>
          <cell r="C119">
            <v>51.337490396373383</v>
          </cell>
          <cell r="D119">
            <v>43.47772093886455</v>
          </cell>
          <cell r="E119">
            <v>36.499282560871976</v>
          </cell>
          <cell r="F119">
            <v>29.252753523993718</v>
          </cell>
          <cell r="G119">
            <v>21.683691221161638</v>
          </cell>
          <cell r="H119">
            <v>14.96545613799077</v>
          </cell>
          <cell r="I119">
            <v>7.3082126735713189</v>
          </cell>
          <cell r="J119">
            <v>-2.3458899343069106</v>
          </cell>
        </row>
        <row r="120">
          <cell r="A120">
            <v>1.6000000000000008</v>
          </cell>
          <cell r="B120">
            <v>59.248508908484041</v>
          </cell>
          <cell r="C120">
            <v>52.208799369031112</v>
          </cell>
          <cell r="D120">
            <v>44.3748251093253</v>
          </cell>
          <cell r="E120">
            <v>37.448442444983897</v>
          </cell>
          <cell r="F120">
            <v>30.233779089003619</v>
          </cell>
          <cell r="G120">
            <v>22.617646614810752</v>
          </cell>
          <cell r="H120">
            <v>15.937973992203695</v>
          </cell>
          <cell r="I120">
            <v>8.5523945477406755</v>
          </cell>
          <cell r="J120">
            <v>-0.11865780715459096</v>
          </cell>
        </row>
        <row r="121">
          <cell r="A121">
            <v>1.6500000000000008</v>
          </cell>
          <cell r="B121">
            <v>60.019428278853795</v>
          </cell>
          <cell r="C121">
            <v>53.029529628460097</v>
          </cell>
          <cell r="D121">
            <v>45.214168199827967</v>
          </cell>
          <cell r="E121">
            <v>38.340567180141491</v>
          </cell>
          <cell r="F121">
            <v>31.162087067391752</v>
          </cell>
          <cell r="G121">
            <v>23.506618260096246</v>
          </cell>
          <cell r="H121">
            <v>16.848529603833271</v>
          </cell>
          <cell r="I121">
            <v>9.6970136975223227</v>
          </cell>
          <cell r="J121">
            <v>1.7177636288544136</v>
          </cell>
        </row>
        <row r="122">
          <cell r="A122">
            <v>1.7000000000000008</v>
          </cell>
          <cell r="B122">
            <v>60.746575520336634</v>
          </cell>
          <cell r="C122">
            <v>53.799631654057322</v>
          </cell>
          <cell r="D122">
            <v>45.997254500493568</v>
          </cell>
          <cell r="E122">
            <v>39.176615418766488</v>
          </cell>
          <cell r="F122">
            <v>32.03900979355798</v>
          </cell>
          <cell r="G122">
            <v>24.355314671520347</v>
          </cell>
          <cell r="H122">
            <v>17.701983897343609</v>
          </cell>
          <cell r="I122">
            <v>10.751563418011983</v>
          </cell>
          <cell r="J122">
            <v>3.2331030313620204</v>
          </cell>
        </row>
        <row r="123">
          <cell r="A123">
            <v>1.7500000000000009</v>
          </cell>
          <cell r="B123">
            <v>61.42883469799655</v>
          </cell>
          <cell r="C123">
            <v>54.518910949836766</v>
          </cell>
          <cell r="D123">
            <v>46.725653629371649</v>
          </cell>
          <cell r="E123">
            <v>39.957553964798166</v>
          </cell>
          <cell r="F123">
            <v>32.865643717364676</v>
          </cell>
          <cell r="G123">
            <v>25.167540170401793</v>
          </cell>
          <cell r="H123">
            <v>18.502861199736572</v>
          </cell>
          <cell r="I123">
            <v>11.724714210508694</v>
          </cell>
          <cell r="J123">
            <v>4.4899905915279987</v>
          </cell>
        </row>
        <row r="124">
          <cell r="A124">
            <v>1.8000000000000009</v>
          </cell>
          <cell r="B124">
            <v>62.064752669078288</v>
          </cell>
          <cell r="C124">
            <v>55.187028044429425</v>
          </cell>
          <cell r="D124">
            <v>47.401000532440278</v>
          </cell>
          <cell r="E124">
            <v>40.684357773693279</v>
          </cell>
          <cell r="F124">
            <v>33.642849404136882</v>
          </cell>
          <cell r="G124">
            <v>25.946194884876462</v>
          </cell>
          <cell r="H124">
            <v>19.25534924055151</v>
          </cell>
          <cell r="I124">
            <v>12.624313782514662</v>
          </cell>
          <cell r="J124">
            <v>5.5439580340261045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80F4-233F-478B-A4D9-771A87AAEBA7}">
  <sheetPr codeName="Sheet1"/>
  <dimension ref="A1:E44"/>
  <sheetViews>
    <sheetView workbookViewId="0">
      <selection activeCell="B7" sqref="B7"/>
    </sheetView>
  </sheetViews>
  <sheetFormatPr defaultRowHeight="15" x14ac:dyDescent="0.25"/>
  <cols>
    <col min="2" max="2" width="10" bestFit="1" customWidth="1"/>
    <col min="3" max="3" width="12.7109375" bestFit="1" customWidth="1"/>
  </cols>
  <sheetData>
    <row r="1" spans="1:5" x14ac:dyDescent="0.25">
      <c r="A1" t="s">
        <v>1</v>
      </c>
      <c r="B1">
        <v>27</v>
      </c>
      <c r="C1" t="s">
        <v>2</v>
      </c>
    </row>
    <row r="2" spans="1:5" x14ac:dyDescent="0.25">
      <c r="A2" t="s">
        <v>0</v>
      </c>
      <c r="B2">
        <v>8.11</v>
      </c>
      <c r="C2" t="s">
        <v>7</v>
      </c>
    </row>
    <row r="3" spans="1:5" x14ac:dyDescent="0.25">
      <c r="A3" t="s">
        <v>3</v>
      </c>
      <c r="B3">
        <v>2.5</v>
      </c>
      <c r="C3" t="s">
        <v>6</v>
      </c>
    </row>
    <row r="4" spans="1:5" x14ac:dyDescent="0.25">
      <c r="A4" t="s">
        <v>4</v>
      </c>
      <c r="B4">
        <f>B2/B3</f>
        <v>3.2439999999999998</v>
      </c>
      <c r="C4" t="s">
        <v>5</v>
      </c>
    </row>
    <row r="5" spans="1:5" x14ac:dyDescent="0.25">
      <c r="A5" t="s">
        <v>9</v>
      </c>
      <c r="B5">
        <v>12.9</v>
      </c>
      <c r="C5" t="s">
        <v>10</v>
      </c>
    </row>
    <row r="6" spans="1:5" x14ac:dyDescent="0.25">
      <c r="A6" t="s">
        <v>8</v>
      </c>
      <c r="B6">
        <f>(B5+B3^2*B4)/B3</f>
        <v>13.27</v>
      </c>
      <c r="C6" t="s">
        <v>7</v>
      </c>
    </row>
    <row r="7" spans="1:5" x14ac:dyDescent="0.25">
      <c r="A7" t="s">
        <v>13</v>
      </c>
      <c r="B7">
        <v>5</v>
      </c>
      <c r="C7" t="s">
        <v>14</v>
      </c>
    </row>
    <row r="9" spans="1:5" x14ac:dyDescent="0.25">
      <c r="A9" t="s">
        <v>11</v>
      </c>
      <c r="B9" t="s">
        <v>12</v>
      </c>
      <c r="C9" t="s">
        <v>15</v>
      </c>
      <c r="D9" t="s">
        <v>16</v>
      </c>
      <c r="E9" t="s">
        <v>17</v>
      </c>
    </row>
    <row r="10" spans="1:5" x14ac:dyDescent="0.25">
      <c r="A10">
        <v>0</v>
      </c>
      <c r="B10">
        <f>(0.2+A10^2*$B$4)/$B$7</f>
        <v>0.04</v>
      </c>
      <c r="C10">
        <f>(-$B$6*A10+(A10^2*$B$4)/2+0.2)/(0.08+$B$5/64.3)</f>
        <v>0.71270228330747065</v>
      </c>
      <c r="D10">
        <v>28</v>
      </c>
      <c r="E10">
        <f>SUM(B10:D10)</f>
        <v>28.752702283307471</v>
      </c>
    </row>
    <row r="11" spans="1:5" x14ac:dyDescent="0.25">
      <c r="A11">
        <v>0.15</v>
      </c>
      <c r="B11">
        <f t="shared" ref="B11:B44" si="0">(0.2+A11^2*$B$4)/$B$7</f>
        <v>5.4598000000000001E-2</v>
      </c>
      <c r="C11">
        <f t="shared" ref="C11:C44" si="1">(-$B$6*A11+(A11^2*$B$4)/2+0.2)/(0.08+$B$5/64.3)</f>
        <v>-6.2504168421636006</v>
      </c>
      <c r="D11">
        <v>28</v>
      </c>
      <c r="E11">
        <f t="shared" ref="E11:E27" si="2">SUM(B11:D11)</f>
        <v>21.8041811578364</v>
      </c>
    </row>
    <row r="12" spans="1:5" x14ac:dyDescent="0.25">
      <c r="A12">
        <v>0.3</v>
      </c>
      <c r="B12">
        <f t="shared" si="0"/>
        <v>9.8391999999999993E-2</v>
      </c>
      <c r="C12">
        <f t="shared" si="1"/>
        <v>-12.953435269341609</v>
      </c>
      <c r="D12">
        <v>28</v>
      </c>
      <c r="E12">
        <f t="shared" si="2"/>
        <v>15.144956730658391</v>
      </c>
    </row>
    <row r="13" spans="1:5" x14ac:dyDescent="0.25">
      <c r="A13">
        <v>0.45</v>
      </c>
      <c r="B13">
        <f t="shared" si="0"/>
        <v>0.17138200000000001</v>
      </c>
      <c r="C13">
        <f t="shared" si="1"/>
        <v>-19.396352998226558</v>
      </c>
      <c r="D13">
        <v>28</v>
      </c>
      <c r="E13">
        <f t="shared" si="2"/>
        <v>8.7750290017734436</v>
      </c>
    </row>
    <row r="14" spans="1:5" x14ac:dyDescent="0.25">
      <c r="A14">
        <v>0.6</v>
      </c>
      <c r="B14">
        <f t="shared" si="0"/>
        <v>0.27356799999999992</v>
      </c>
      <c r="C14">
        <f t="shared" si="1"/>
        <v>-25.579170028818442</v>
      </c>
      <c r="D14">
        <v>28</v>
      </c>
      <c r="E14">
        <f t="shared" si="2"/>
        <v>2.6943979711815587</v>
      </c>
    </row>
    <row r="15" spans="1:5" x14ac:dyDescent="0.25">
      <c r="A15">
        <v>0.75</v>
      </c>
      <c r="B15">
        <f t="shared" si="0"/>
        <v>0.40495000000000003</v>
      </c>
      <c r="C15">
        <f t="shared" si="1"/>
        <v>-31.501886361117272</v>
      </c>
      <c r="D15">
        <v>28</v>
      </c>
      <c r="E15">
        <f t="shared" si="2"/>
        <v>-3.0969363611172724</v>
      </c>
    </row>
    <row r="16" spans="1:5" x14ac:dyDescent="0.25">
      <c r="A16">
        <v>0.9</v>
      </c>
      <c r="B16">
        <f t="shared" si="0"/>
        <v>0.56552800000000003</v>
      </c>
      <c r="C16">
        <f t="shared" si="1"/>
        <v>-37.164501995123032</v>
      </c>
      <c r="D16">
        <v>28</v>
      </c>
      <c r="E16">
        <f t="shared" si="2"/>
        <v>-8.598973995123032</v>
      </c>
    </row>
    <row r="17" spans="1:5" x14ac:dyDescent="0.25">
      <c r="A17">
        <v>1.05</v>
      </c>
      <c r="B17">
        <f t="shared" si="0"/>
        <v>0.75530200000000003</v>
      </c>
      <c r="C17">
        <f t="shared" si="1"/>
        <v>-42.567016930835742</v>
      </c>
      <c r="D17">
        <v>28</v>
      </c>
      <c r="E17">
        <f t="shared" si="2"/>
        <v>-13.811714930835741</v>
      </c>
    </row>
    <row r="18" spans="1:5" x14ac:dyDescent="0.25">
      <c r="A18">
        <v>1.2</v>
      </c>
      <c r="B18">
        <f t="shared" si="0"/>
        <v>0.9742719999999998</v>
      </c>
      <c r="C18">
        <f t="shared" si="1"/>
        <v>-47.709431168255378</v>
      </c>
      <c r="D18">
        <v>28</v>
      </c>
      <c r="E18">
        <f t="shared" si="2"/>
        <v>-18.735159168255379</v>
      </c>
    </row>
    <row r="19" spans="1:5" x14ac:dyDescent="0.25">
      <c r="A19">
        <v>1.35</v>
      </c>
      <c r="B19">
        <f t="shared" si="0"/>
        <v>1.2224380000000001</v>
      </c>
      <c r="C19">
        <f t="shared" si="1"/>
        <v>-52.591744707381956</v>
      </c>
      <c r="D19">
        <v>28</v>
      </c>
      <c r="E19">
        <f t="shared" si="2"/>
        <v>-23.369306707381959</v>
      </c>
    </row>
    <row r="20" spans="1:5" x14ac:dyDescent="0.25">
      <c r="A20">
        <v>1.5</v>
      </c>
      <c r="B20">
        <f t="shared" si="0"/>
        <v>1.4998</v>
      </c>
      <c r="C20">
        <f t="shared" si="1"/>
        <v>-57.213957548215483</v>
      </c>
      <c r="D20">
        <v>28</v>
      </c>
      <c r="E20">
        <f t="shared" si="2"/>
        <v>-27.714157548215482</v>
      </c>
    </row>
    <row r="21" spans="1:5" x14ac:dyDescent="0.25">
      <c r="A21">
        <v>1.65</v>
      </c>
      <c r="B21">
        <f t="shared" si="0"/>
        <v>1.8063579999999995</v>
      </c>
      <c r="C21">
        <f t="shared" si="1"/>
        <v>-61.576069690755929</v>
      </c>
      <c r="D21">
        <v>28</v>
      </c>
      <c r="E21">
        <f t="shared" si="2"/>
        <v>-31.769711690755926</v>
      </c>
    </row>
    <row r="22" spans="1:5" x14ac:dyDescent="0.25">
      <c r="A22">
        <v>1.8</v>
      </c>
      <c r="B22">
        <f t="shared" si="0"/>
        <v>2.142112</v>
      </c>
      <c r="C22">
        <f t="shared" si="1"/>
        <v>-65.678081135003325</v>
      </c>
      <c r="D22">
        <v>28</v>
      </c>
      <c r="E22">
        <f t="shared" si="2"/>
        <v>-35.535969135003327</v>
      </c>
    </row>
    <row r="23" spans="1:5" x14ac:dyDescent="0.25">
      <c r="A23">
        <v>1.95</v>
      </c>
      <c r="B23">
        <f t="shared" si="0"/>
        <v>2.5070619999999995</v>
      </c>
      <c r="C23">
        <f t="shared" si="1"/>
        <v>-69.519991880957662</v>
      </c>
      <c r="D23">
        <v>28</v>
      </c>
      <c r="E23">
        <f t="shared" si="2"/>
        <v>-39.012929880957657</v>
      </c>
    </row>
    <row r="24" spans="1:5" x14ac:dyDescent="0.25">
      <c r="A24">
        <v>2.1</v>
      </c>
      <c r="B24">
        <f t="shared" si="0"/>
        <v>2.9012079999999996</v>
      </c>
      <c r="C24">
        <f t="shared" si="1"/>
        <v>-73.101801928618926</v>
      </c>
      <c r="D24">
        <v>28</v>
      </c>
      <c r="E24">
        <f t="shared" si="2"/>
        <v>-42.200593928618929</v>
      </c>
    </row>
    <row r="25" spans="1:5" x14ac:dyDescent="0.25">
      <c r="A25">
        <v>2.25</v>
      </c>
      <c r="B25">
        <f t="shared" si="0"/>
        <v>3.3245499999999999</v>
      </c>
      <c r="C25">
        <f t="shared" si="1"/>
        <v>-76.423511277987132</v>
      </c>
      <c r="D25">
        <v>28</v>
      </c>
      <c r="E25">
        <f t="shared" si="2"/>
        <v>-45.098961277987129</v>
      </c>
    </row>
    <row r="26" spans="1:5" x14ac:dyDescent="0.25">
      <c r="A26">
        <v>2.4</v>
      </c>
      <c r="B26">
        <f t="shared" si="0"/>
        <v>3.7770879999999991</v>
      </c>
      <c r="C26">
        <f t="shared" si="1"/>
        <v>-79.485119929062293</v>
      </c>
      <c r="D26">
        <v>28</v>
      </c>
      <c r="E26">
        <f t="shared" si="2"/>
        <v>-47.708031929062287</v>
      </c>
    </row>
    <row r="27" spans="1:5" x14ac:dyDescent="0.25">
      <c r="A27">
        <v>2.5499999999999998</v>
      </c>
      <c r="B27">
        <f t="shared" si="0"/>
        <v>4.2588219999999994</v>
      </c>
      <c r="C27">
        <f t="shared" si="1"/>
        <v>-82.286627881844367</v>
      </c>
      <c r="D27">
        <v>28</v>
      </c>
      <c r="E27">
        <f t="shared" si="2"/>
        <v>-50.027805881844372</v>
      </c>
    </row>
    <row r="28" spans="1:5" x14ac:dyDescent="0.25">
      <c r="A28">
        <v>2.7</v>
      </c>
      <c r="B28">
        <f t="shared" si="0"/>
        <v>4.7697520000000004</v>
      </c>
      <c r="C28">
        <f t="shared" si="1"/>
        <v>-84.828035136333412</v>
      </c>
      <c r="D28">
        <v>28</v>
      </c>
      <c r="E28">
        <f t="shared" ref="E28:E33" si="3">SUM(B28:D28)</f>
        <v>-52.058283136333415</v>
      </c>
    </row>
    <row r="29" spans="1:5" x14ac:dyDescent="0.25">
      <c r="A29">
        <v>2.85</v>
      </c>
      <c r="B29">
        <f t="shared" si="0"/>
        <v>5.3098779999999994</v>
      </c>
      <c r="C29">
        <f t="shared" si="1"/>
        <v>-87.10934169252937</v>
      </c>
      <c r="D29">
        <v>28</v>
      </c>
      <c r="E29">
        <f t="shared" si="3"/>
        <v>-53.799463692529372</v>
      </c>
    </row>
    <row r="30" spans="1:5" x14ac:dyDescent="0.25">
      <c r="A30">
        <v>3</v>
      </c>
      <c r="B30">
        <f t="shared" si="0"/>
        <v>5.8791999999999991</v>
      </c>
      <c r="C30">
        <f t="shared" si="1"/>
        <v>-89.130547550432297</v>
      </c>
      <c r="D30">
        <v>28</v>
      </c>
      <c r="E30">
        <f t="shared" si="3"/>
        <v>-55.2513475504323</v>
      </c>
    </row>
    <row r="31" spans="1:5" x14ac:dyDescent="0.25">
      <c r="A31">
        <v>3.15</v>
      </c>
      <c r="B31">
        <f t="shared" si="0"/>
        <v>6.4777180000000003</v>
      </c>
      <c r="C31">
        <f t="shared" si="1"/>
        <v>-90.891652710042123</v>
      </c>
      <c r="D31">
        <v>28</v>
      </c>
      <c r="E31">
        <f t="shared" si="3"/>
        <v>-56.413934710042128</v>
      </c>
    </row>
    <row r="32" spans="1:5" x14ac:dyDescent="0.25">
      <c r="A32">
        <v>3.3</v>
      </c>
      <c r="B32">
        <f t="shared" si="0"/>
        <v>7.1054319999999986</v>
      </c>
      <c r="C32">
        <f t="shared" si="1"/>
        <v>-92.392657171358906</v>
      </c>
      <c r="D32">
        <v>28</v>
      </c>
      <c r="E32">
        <f t="shared" si="3"/>
        <v>-57.287225171358912</v>
      </c>
    </row>
    <row r="33" spans="1:5" x14ac:dyDescent="0.25">
      <c r="A33">
        <v>3.45</v>
      </c>
      <c r="B33">
        <f t="shared" si="0"/>
        <v>7.7623420000000012</v>
      </c>
      <c r="C33">
        <f t="shared" si="1"/>
        <v>-93.633560934382629</v>
      </c>
      <c r="D33">
        <v>28</v>
      </c>
      <c r="E33">
        <f t="shared" si="3"/>
        <v>-57.871218934382625</v>
      </c>
    </row>
    <row r="34" spans="1:5" x14ac:dyDescent="0.25">
      <c r="A34">
        <v>3.6</v>
      </c>
      <c r="B34">
        <f t="shared" si="0"/>
        <v>8.4484480000000008</v>
      </c>
      <c r="C34">
        <f t="shared" si="1"/>
        <v>-94.61436399911328</v>
      </c>
      <c r="D34">
        <v>28</v>
      </c>
      <c r="E34">
        <f t="shared" ref="E34:E44" si="4">SUM(B34:D34)</f>
        <v>-58.165915999113281</v>
      </c>
    </row>
    <row r="35" spans="1:5" x14ac:dyDescent="0.25">
      <c r="A35">
        <v>3.75</v>
      </c>
      <c r="B35">
        <f t="shared" si="0"/>
        <v>9.1637500000000003</v>
      </c>
      <c r="C35">
        <f t="shared" si="1"/>
        <v>-95.335066365550873</v>
      </c>
      <c r="D35">
        <v>28</v>
      </c>
      <c r="E35">
        <f t="shared" si="4"/>
        <v>-58.171316365550865</v>
      </c>
    </row>
    <row r="36" spans="1:5" x14ac:dyDescent="0.25">
      <c r="A36">
        <v>3.9</v>
      </c>
      <c r="B36">
        <f t="shared" si="0"/>
        <v>9.9082479999999986</v>
      </c>
      <c r="C36">
        <f t="shared" si="1"/>
        <v>-95.795668033695435</v>
      </c>
      <c r="D36">
        <v>28</v>
      </c>
      <c r="E36">
        <f t="shared" si="4"/>
        <v>-57.887420033695435</v>
      </c>
    </row>
    <row r="37" spans="1:5" x14ac:dyDescent="0.25">
      <c r="A37">
        <v>4.05</v>
      </c>
      <c r="B37">
        <f t="shared" si="0"/>
        <v>10.681941999999999</v>
      </c>
      <c r="C37">
        <f t="shared" si="1"/>
        <v>-95.996169003546896</v>
      </c>
      <c r="D37">
        <v>28</v>
      </c>
      <c r="E37">
        <f t="shared" si="4"/>
        <v>-57.314227003546904</v>
      </c>
    </row>
    <row r="38" spans="1:5" x14ac:dyDescent="0.25">
      <c r="A38">
        <v>4.2</v>
      </c>
      <c r="B38">
        <f t="shared" si="0"/>
        <v>11.484832000000001</v>
      </c>
      <c r="C38">
        <f t="shared" si="1"/>
        <v>-95.936569275105313</v>
      </c>
      <c r="D38">
        <v>28</v>
      </c>
      <c r="E38">
        <f t="shared" si="4"/>
        <v>-56.451737275105316</v>
      </c>
    </row>
    <row r="39" spans="1:5" x14ac:dyDescent="0.25">
      <c r="A39">
        <v>4.3499999999999996</v>
      </c>
      <c r="B39">
        <f t="shared" si="0"/>
        <v>12.316917999999998</v>
      </c>
      <c r="C39">
        <f t="shared" si="1"/>
        <v>-95.616868848370657</v>
      </c>
      <c r="D39">
        <v>28</v>
      </c>
      <c r="E39">
        <f t="shared" si="4"/>
        <v>-55.299950848370656</v>
      </c>
    </row>
    <row r="40" spans="1:5" x14ac:dyDescent="0.25">
      <c r="A40">
        <v>4.5</v>
      </c>
      <c r="B40">
        <f t="shared" si="0"/>
        <v>13.1782</v>
      </c>
      <c r="C40">
        <f t="shared" si="1"/>
        <v>-95.037067723342929</v>
      </c>
      <c r="D40">
        <v>28</v>
      </c>
      <c r="E40">
        <f t="shared" si="4"/>
        <v>-53.858867723342925</v>
      </c>
    </row>
    <row r="41" spans="1:5" x14ac:dyDescent="0.25">
      <c r="A41">
        <v>4.6500000000000004</v>
      </c>
      <c r="B41">
        <f t="shared" si="0"/>
        <v>14.068678</v>
      </c>
      <c r="C41">
        <f t="shared" si="1"/>
        <v>-94.197165900022185</v>
      </c>
      <c r="D41">
        <v>28</v>
      </c>
      <c r="E41">
        <f t="shared" si="4"/>
        <v>-52.128487900022179</v>
      </c>
    </row>
    <row r="42" spans="1:5" x14ac:dyDescent="0.25">
      <c r="A42">
        <v>4.8</v>
      </c>
      <c r="B42">
        <f t="shared" si="0"/>
        <v>14.988351999999997</v>
      </c>
      <c r="C42">
        <f t="shared" si="1"/>
        <v>-93.097163378408354</v>
      </c>
      <c r="D42">
        <v>28</v>
      </c>
      <c r="E42">
        <f t="shared" si="4"/>
        <v>-50.108811378408362</v>
      </c>
    </row>
    <row r="43" spans="1:5" x14ac:dyDescent="0.25">
      <c r="A43">
        <v>4.95</v>
      </c>
      <c r="B43">
        <f t="shared" si="0"/>
        <v>15.937222</v>
      </c>
      <c r="C43">
        <f t="shared" si="1"/>
        <v>-91.737060158501436</v>
      </c>
      <c r="D43">
        <v>28</v>
      </c>
      <c r="E43">
        <f t="shared" si="4"/>
        <v>-47.79983815850143</v>
      </c>
    </row>
    <row r="44" spans="1:5" x14ac:dyDescent="0.25">
      <c r="A44">
        <v>5</v>
      </c>
      <c r="B44">
        <f t="shared" si="0"/>
        <v>16.259999999999998</v>
      </c>
      <c r="C44">
        <f t="shared" si="1"/>
        <v>-91.225892263356229</v>
      </c>
      <c r="D44">
        <v>28</v>
      </c>
      <c r="E44">
        <f t="shared" si="4"/>
        <v>-46.965892263356238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293FF-C6B5-4ED9-833A-FC46BFB556B4}">
  <sheetPr codeName="Sheet2"/>
  <dimension ref="A12:O46"/>
  <sheetViews>
    <sheetView topLeftCell="A7" workbookViewId="0">
      <selection activeCell="B28" sqref="B28"/>
    </sheetView>
  </sheetViews>
  <sheetFormatPr defaultRowHeight="15" x14ac:dyDescent="0.25"/>
  <cols>
    <col min="1" max="1" width="10.140625" bestFit="1" customWidth="1"/>
  </cols>
  <sheetData>
    <row r="12" spans="1:11" x14ac:dyDescent="0.25">
      <c r="A12" t="s">
        <v>23</v>
      </c>
    </row>
    <row r="13" spans="1:11" x14ac:dyDescent="0.25">
      <c r="A13" t="s">
        <v>24</v>
      </c>
      <c r="B13">
        <f>1/0.3</f>
        <v>3.3333333333333335</v>
      </c>
      <c r="C13" t="s">
        <v>25</v>
      </c>
      <c r="G13" t="s">
        <v>45</v>
      </c>
      <c r="H13" t="s">
        <v>46</v>
      </c>
      <c r="I13" t="s">
        <v>37</v>
      </c>
      <c r="J13" t="s">
        <v>38</v>
      </c>
      <c r="K13" t="s">
        <v>39</v>
      </c>
    </row>
    <row r="14" spans="1:11" x14ac:dyDescent="0.25">
      <c r="A14" t="s">
        <v>26</v>
      </c>
      <c r="B14">
        <f>1/0.04</f>
        <v>25</v>
      </c>
      <c r="C14" t="s">
        <v>25</v>
      </c>
      <c r="G14">
        <v>200</v>
      </c>
      <c r="H14">
        <f t="shared" ref="H14:H46" si="0">(R_bus*R_SO)/(R_bus+R_SO)*(G14/R_bus+T_B/R_SO+q_D)</f>
        <v>212.70595179947424</v>
      </c>
      <c r="I14">
        <f t="shared" ref="I14:I46" si="1">sigma*(T_earth^4-$G14^4)/(R_surf_1U+R_earth_1U)-sigma*$G14^4/(R_surf_1U+R_space_1U)+(T_B-$G14)/R_SO+($H14-$G14)/R_bus+A_1U*albedo*absorp*F_earth*solar</f>
        <v>7.7615786977572343</v>
      </c>
      <c r="J14">
        <f t="shared" ref="J14:J46" si="2">sigma*(T_earth^4-$G14^4)/(R_surf_2U+R_earth_2U)-sigma*$G14^4/(R_surf_2U+R_space_2U)+(T_B-$G14)/R_SO+($H14-$G14)/R_bus+A_2U*albedo*absorp*F_earth*solar</f>
        <v>7.7113718556721977</v>
      </c>
      <c r="K14">
        <f t="shared" ref="K14:K46" si="3">sigma*(T_earth^4-$G14^4)/(R_surf_3U+R_earth_3U)-sigma*$G14^4/(R_surf_3U+R_space_3U)+(T_B-$G14)/R_SO+($H14-$G14)/R_bus+A_3U*albedo*absorp*F_earth*solar</f>
        <v>7.6611650135871612</v>
      </c>
    </row>
    <row r="15" spans="1:11" x14ac:dyDescent="0.25">
      <c r="A15" t="s">
        <v>27</v>
      </c>
      <c r="B15">
        <v>300</v>
      </c>
      <c r="C15" t="s">
        <v>22</v>
      </c>
      <c r="G15">
        <v>205</v>
      </c>
      <c r="H15">
        <f t="shared" si="0"/>
        <v>217.11771650535661</v>
      </c>
      <c r="I15">
        <f t="shared" si="1"/>
        <v>7.3190508065289173</v>
      </c>
      <c r="J15">
        <f t="shared" si="2"/>
        <v>7.2027866614508493</v>
      </c>
      <c r="K15">
        <f t="shared" si="3"/>
        <v>7.0865225163727832</v>
      </c>
    </row>
    <row r="16" spans="1:11" x14ac:dyDescent="0.25">
      <c r="A16" t="s">
        <v>28</v>
      </c>
      <c r="B16">
        <v>0.32002361182123162</v>
      </c>
      <c r="C16" t="s">
        <v>10</v>
      </c>
      <c r="G16">
        <v>210</v>
      </c>
      <c r="H16">
        <f t="shared" si="0"/>
        <v>221.52948121123896</v>
      </c>
      <c r="I16">
        <f t="shared" si="1"/>
        <v>6.8715084849267534</v>
      </c>
      <c r="J16">
        <f t="shared" si="2"/>
        <v>6.6841726064818188</v>
      </c>
      <c r="K16">
        <f t="shared" si="3"/>
        <v>6.4968367280368851</v>
      </c>
    </row>
    <row r="17" spans="1:15" x14ac:dyDescent="0.25">
      <c r="A17" t="s">
        <v>29</v>
      </c>
      <c r="B17" s="2">
        <v>5.6699999999999998E-8</v>
      </c>
      <c r="C17" t="s">
        <v>30</v>
      </c>
      <c r="G17">
        <v>215</v>
      </c>
      <c r="H17">
        <f t="shared" si="0"/>
        <v>225.94124591712131</v>
      </c>
      <c r="I17">
        <f t="shared" si="1"/>
        <v>6.4187041681320585</v>
      </c>
      <c r="J17">
        <f t="shared" si="2"/>
        <v>6.1550345611277235</v>
      </c>
      <c r="K17">
        <f t="shared" si="3"/>
        <v>5.8913649541233903</v>
      </c>
    </row>
    <row r="18" spans="1:15" x14ac:dyDescent="0.25">
      <c r="A18" t="s">
        <v>31</v>
      </c>
      <c r="B18">
        <v>255</v>
      </c>
      <c r="C18" t="s">
        <v>22</v>
      </c>
      <c r="G18">
        <v>220</v>
      </c>
      <c r="H18">
        <f t="shared" si="0"/>
        <v>230.35301062300366</v>
      </c>
      <c r="I18">
        <f t="shared" si="1"/>
        <v>5.9603843259088194</v>
      </c>
      <c r="J18">
        <f t="shared" si="2"/>
        <v>5.6148654649165399</v>
      </c>
      <c r="K18">
        <f t="shared" si="3"/>
        <v>5.2693466039242631</v>
      </c>
    </row>
    <row r="19" spans="1:15" x14ac:dyDescent="0.25">
      <c r="G19">
        <v>225</v>
      </c>
      <c r="H19">
        <f t="shared" si="0"/>
        <v>234.764775328886</v>
      </c>
      <c r="I19">
        <f t="shared" si="1"/>
        <v>5.4962894626037047</v>
      </c>
      <c r="J19">
        <f t="shared" si="2"/>
        <v>5.0631463265416086</v>
      </c>
      <c r="K19">
        <f t="shared" si="3"/>
        <v>4.6300031904795125</v>
      </c>
    </row>
    <row r="20" spans="1:15" x14ac:dyDescent="0.25">
      <c r="A20" t="s">
        <v>32</v>
      </c>
      <c r="B20">
        <v>0.88</v>
      </c>
      <c r="G20">
        <v>230</v>
      </c>
      <c r="H20">
        <f t="shared" si="0"/>
        <v>239.17654003476838</v>
      </c>
      <c r="I20">
        <f t="shared" si="1"/>
        <v>5.026154117146076</v>
      </c>
      <c r="J20">
        <f t="shared" si="2"/>
        <v>4.4993462238616386</v>
      </c>
      <c r="K20">
        <f t="shared" si="3"/>
        <v>3.9725383305772004</v>
      </c>
    </row>
    <row r="21" spans="1:15" x14ac:dyDescent="0.25">
      <c r="A21" t="s">
        <v>33</v>
      </c>
      <c r="B21">
        <f>B22/2</f>
        <v>7.5799999999999999E-3</v>
      </c>
      <c r="G21">
        <v>235</v>
      </c>
      <c r="H21">
        <f t="shared" si="0"/>
        <v>243.58830474065073</v>
      </c>
      <c r="I21">
        <f t="shared" si="1"/>
        <v>4.5497068630479509</v>
      </c>
      <c r="J21">
        <f t="shared" si="2"/>
        <v>3.9229223039006822</v>
      </c>
      <c r="K21">
        <f t="shared" si="3"/>
        <v>3.2961377447534144</v>
      </c>
    </row>
    <row r="22" spans="1:15" x14ac:dyDescent="0.25">
      <c r="A22" t="s">
        <v>34</v>
      </c>
      <c r="B22">
        <v>1.516E-2</v>
      </c>
      <c r="G22">
        <v>240</v>
      </c>
      <c r="H22">
        <f t="shared" si="0"/>
        <v>248.00006944653308</v>
      </c>
      <c r="I22">
        <f t="shared" si="1"/>
        <v>4.066670308404051</v>
      </c>
      <c r="J22">
        <f t="shared" si="2"/>
        <v>3.3333197828481795</v>
      </c>
      <c r="K22">
        <f t="shared" si="3"/>
        <v>2.5999692572923081</v>
      </c>
    </row>
    <row r="23" spans="1:15" x14ac:dyDescent="0.25">
      <c r="A23" t="s">
        <v>35</v>
      </c>
      <c r="B23">
        <f>B21*3</f>
        <v>2.274E-2</v>
      </c>
      <c r="G23">
        <v>245</v>
      </c>
      <c r="H23">
        <f t="shared" si="0"/>
        <v>252.41183415241542</v>
      </c>
      <c r="I23">
        <f t="shared" si="1"/>
        <v>3.5767610958917766</v>
      </c>
      <c r="J23">
        <f t="shared" si="2"/>
        <v>2.7299719460589262</v>
      </c>
      <c r="K23">
        <f t="shared" si="3"/>
        <v>1.8831827962260759</v>
      </c>
    </row>
    <row r="24" spans="1:15" x14ac:dyDescent="0.25">
      <c r="G24">
        <v>250</v>
      </c>
      <c r="H24">
        <f t="shared" si="0"/>
        <v>256.82359885829777</v>
      </c>
      <c r="I24">
        <f t="shared" si="1"/>
        <v>3.0796899027712064</v>
      </c>
      <c r="J24">
        <f t="shared" si="2"/>
        <v>2.1123001480530816</v>
      </c>
      <c r="K24">
        <f t="shared" si="3"/>
        <v>1.1449103933349574</v>
      </c>
      <c r="L24" cm="1">
        <f t="array" ref="L24">TREND(G26:G27,J26:J27,0,TRUE)</f>
        <v>266.25991256083813</v>
      </c>
    </row>
    <row r="25" spans="1:15" x14ac:dyDescent="0.25">
      <c r="A25" t="s">
        <v>20</v>
      </c>
      <c r="B25">
        <v>0.28000000000000003</v>
      </c>
      <c r="G25">
        <v>255</v>
      </c>
      <c r="H25">
        <f t="shared" si="0"/>
        <v>261.23536356418015</v>
      </c>
      <c r="I25">
        <f t="shared" si="1"/>
        <v>2.5751614408851125</v>
      </c>
      <c r="J25">
        <f t="shared" si="2"/>
        <v>1.4797138125161802</v>
      </c>
      <c r="K25">
        <f t="shared" si="3"/>
        <v>0.38426618414724817</v>
      </c>
    </row>
    <row r="26" spans="1:15" x14ac:dyDescent="0.25">
      <c r="A26" t="s">
        <v>42</v>
      </c>
      <c r="B26">
        <f>1-B25</f>
        <v>0.72</v>
      </c>
      <c r="G26">
        <v>260</v>
      </c>
      <c r="H26">
        <f t="shared" si="0"/>
        <v>265.64712827006247</v>
      </c>
      <c r="I26">
        <f t="shared" si="1"/>
        <v>2.0628744566589114</v>
      </c>
      <c r="J26">
        <f t="shared" si="2"/>
        <v>0.83161043229908271</v>
      </c>
      <c r="K26">
        <f t="shared" si="3"/>
        <v>-0.39965359206074597</v>
      </c>
      <c r="L26" cm="1">
        <f t="array" ref="L26">TREND(G25:G26,K25:K26,0,TRUE)</f>
        <v>257.4509279891243</v>
      </c>
    </row>
    <row r="27" spans="1:15" x14ac:dyDescent="0.25">
      <c r="A27" t="s">
        <v>19</v>
      </c>
      <c r="B27">
        <f>0.35*0.65</f>
        <v>0.22749999999999998</v>
      </c>
      <c r="G27">
        <v>265</v>
      </c>
      <c r="H27">
        <f t="shared" si="0"/>
        <v>270.05889297594484</v>
      </c>
      <c r="I27">
        <f t="shared" si="1"/>
        <v>1.5425217311007642</v>
      </c>
      <c r="J27">
        <f t="shared" si="2"/>
        <v>0.16737556941807569</v>
      </c>
      <c r="K27">
        <f t="shared" si="3"/>
        <v>-1.2077705922646134</v>
      </c>
      <c r="L27" cm="1">
        <f t="array" ref="L27">TREND(G27:G28,J27:J28,0,TRUE)</f>
        <v>266.22890866442356</v>
      </c>
      <c r="M27" cm="1">
        <f t="array" ref="M27">TREND(H27:H28,J27:J28,0,TRUE)</f>
        <v>271.1432241504362</v>
      </c>
    </row>
    <row r="28" spans="1:15" x14ac:dyDescent="0.25">
      <c r="A28" t="s">
        <v>18</v>
      </c>
      <c r="B28">
        <v>1420</v>
      </c>
      <c r="C28" t="s">
        <v>21</v>
      </c>
      <c r="G28">
        <v>270</v>
      </c>
      <c r="H28">
        <f t="shared" si="0"/>
        <v>274.47065768182722</v>
      </c>
      <c r="I28">
        <f t="shared" si="1"/>
        <v>1.0137900798014627</v>
      </c>
      <c r="J28">
        <f t="shared" si="2"/>
        <v>-0.51361714494524047</v>
      </c>
      <c r="K28">
        <f t="shared" si="3"/>
        <v>-2.0410243696919443</v>
      </c>
    </row>
    <row r="29" spans="1:15" x14ac:dyDescent="0.25">
      <c r="A29" t="s">
        <v>43</v>
      </c>
      <c r="B29">
        <v>0.14000000000000001</v>
      </c>
      <c r="G29">
        <v>275</v>
      </c>
      <c r="H29">
        <f t="shared" si="0"/>
        <v>278.88242238770954</v>
      </c>
      <c r="I29">
        <f t="shared" si="1"/>
        <v>0.47636035293447931</v>
      </c>
      <c r="J29">
        <f t="shared" si="2"/>
        <v>-1.212006010443903</v>
      </c>
      <c r="K29">
        <f t="shared" si="3"/>
        <v>-2.9003723738222864</v>
      </c>
    </row>
    <row r="30" spans="1:15" x14ac:dyDescent="0.25">
      <c r="G30">
        <v>280</v>
      </c>
      <c r="H30">
        <f t="shared" si="0"/>
        <v>283.29418709359192</v>
      </c>
      <c r="I30">
        <f t="shared" si="1"/>
        <v>-7.0092564743979152E-2</v>
      </c>
      <c r="J30">
        <f t="shared" si="2"/>
        <v>-1.9284412575655332</v>
      </c>
      <c r="K30">
        <f t="shared" si="3"/>
        <v>-3.7867899503870883</v>
      </c>
    </row>
    <row r="31" spans="1:15" x14ac:dyDescent="0.25">
      <c r="B31" t="s">
        <v>37</v>
      </c>
      <c r="C31" t="s">
        <v>38</v>
      </c>
      <c r="D31" t="s">
        <v>39</v>
      </c>
      <c r="G31">
        <v>285</v>
      </c>
      <c r="H31">
        <f t="shared" si="0"/>
        <v>287.70595179947424</v>
      </c>
      <c r="I31">
        <f t="shared" si="1"/>
        <v>-0.62589975389509211</v>
      </c>
      <c r="J31">
        <f t="shared" si="2"/>
        <v>-2.6635850476324547</v>
      </c>
      <c r="K31">
        <f t="shared" si="3"/>
        <v>-4.7012703413698196</v>
      </c>
    </row>
    <row r="32" spans="1:15" ht="15" customHeight="1" x14ac:dyDescent="0.25">
      <c r="A32" t="s">
        <v>36</v>
      </c>
      <c r="B32">
        <f>(1-emiss_out)/(emiss_out*A_1U)</f>
        <v>17.989925641640681</v>
      </c>
      <c r="C32">
        <f>(1-emiss_out)/(emiss_out*A_2U)</f>
        <v>8.9949628208203407</v>
      </c>
      <c r="D32">
        <f>(1-emiss_out)/(emiss_out*A_3U)</f>
        <v>5.9966418805468935</v>
      </c>
      <c r="E32" t="s">
        <v>40</v>
      </c>
      <c r="G32">
        <v>290</v>
      </c>
      <c r="H32">
        <f t="shared" si="0"/>
        <v>292.11771650535661</v>
      </c>
      <c r="I32">
        <f t="shared" si="1"/>
        <v>-1.1913982605972906</v>
      </c>
      <c r="J32">
        <f t="shared" si="2"/>
        <v>-3.4181114728015638</v>
      </c>
      <c r="K32">
        <f t="shared" si="3"/>
        <v>-5.6448246850058368</v>
      </c>
      <c r="N32" s="3" t="s">
        <v>37</v>
      </c>
      <c r="O32" t="s">
        <v>47</v>
      </c>
    </row>
    <row r="33" spans="1:15" x14ac:dyDescent="0.25">
      <c r="A33" t="s">
        <v>41</v>
      </c>
      <c r="B33">
        <f>1/(A_1U*F_earth)</f>
        <v>471.16471918582738</v>
      </c>
      <c r="C33">
        <f>1/(A_2U*F_earth)</f>
        <v>235.58235959291369</v>
      </c>
      <c r="D33">
        <f>1/(A_3U*F_earth)</f>
        <v>157.05490639527576</v>
      </c>
      <c r="E33" t="s">
        <v>40</v>
      </c>
      <c r="G33">
        <v>295</v>
      </c>
      <c r="H33">
        <f t="shared" si="0"/>
        <v>296.52948121123899</v>
      </c>
      <c r="I33">
        <f t="shared" si="1"/>
        <v>-1.7669310963463705</v>
      </c>
      <c r="J33">
        <f t="shared" si="2"/>
        <v>-4.1927065560644374</v>
      </c>
      <c r="K33">
        <f t="shared" si="3"/>
        <v>-6.6184820157825044</v>
      </c>
      <c r="N33" s="3" t="s">
        <v>38</v>
      </c>
      <c r="O33" t="s">
        <v>48</v>
      </c>
    </row>
    <row r="34" spans="1:15" x14ac:dyDescent="0.25">
      <c r="A34" t="s">
        <v>44</v>
      </c>
      <c r="B34">
        <f>1/(A_1U*F_space)</f>
        <v>183.23072412782176</v>
      </c>
      <c r="C34">
        <f>1/(A_2U*F_space)</f>
        <v>91.615362063910879</v>
      </c>
      <c r="D34">
        <f>1/(A_3U*F_space)</f>
        <v>61.076908042607251</v>
      </c>
      <c r="E34" t="s">
        <v>40</v>
      </c>
      <c r="G34">
        <v>300</v>
      </c>
      <c r="H34">
        <f t="shared" si="0"/>
        <v>300.94124591712131</v>
      </c>
      <c r="I34">
        <f t="shared" si="1"/>
        <v>-2.352847238055451</v>
      </c>
      <c r="J34">
        <f t="shared" si="2"/>
        <v>-4.9880682512472942</v>
      </c>
      <c r="K34">
        <f t="shared" si="3"/>
        <v>-7.6232892644391361</v>
      </c>
      <c r="N34" s="3" t="s">
        <v>39</v>
      </c>
    </row>
    <row r="35" spans="1:15" x14ac:dyDescent="0.25">
      <c r="G35">
        <v>305</v>
      </c>
      <c r="H35">
        <f t="shared" si="0"/>
        <v>305.35301062300368</v>
      </c>
      <c r="I35">
        <f t="shared" si="1"/>
        <v>-2.949501628054914</v>
      </c>
      <c r="J35">
        <f t="shared" si="2"/>
        <v>-5.8049064430109327</v>
      </c>
      <c r="K35">
        <f t="shared" si="3"/>
        <v>-8.660311257966951</v>
      </c>
    </row>
    <row r="36" spans="1:15" x14ac:dyDescent="0.25">
      <c r="G36">
        <v>310</v>
      </c>
      <c r="H36">
        <f t="shared" si="0"/>
        <v>309.76477532888606</v>
      </c>
      <c r="I36">
        <f t="shared" si="1"/>
        <v>-3.5572551740925102</v>
      </c>
      <c r="J36">
        <f t="shared" si="2"/>
        <v>-6.6439429468508395</v>
      </c>
      <c r="K36">
        <f t="shared" si="3"/>
        <v>-9.7306307196091701</v>
      </c>
    </row>
    <row r="37" spans="1:15" x14ac:dyDescent="0.25">
      <c r="G37">
        <v>315</v>
      </c>
      <c r="H37">
        <f t="shared" si="0"/>
        <v>314.17654003476838</v>
      </c>
      <c r="I37">
        <f t="shared" si="1"/>
        <v>-4.1764747493333134</v>
      </c>
      <c r="J37">
        <f t="shared" si="2"/>
        <v>-7.5059115090971407</v>
      </c>
      <c r="K37">
        <f t="shared" si="3"/>
        <v>-10.835348268860969</v>
      </c>
    </row>
    <row r="38" spans="1:15" x14ac:dyDescent="0.25">
      <c r="G38">
        <v>320</v>
      </c>
      <c r="H38">
        <f t="shared" si="0"/>
        <v>318.58830474065076</v>
      </c>
      <c r="I38">
        <f t="shared" si="1"/>
        <v>-4.8075331923596583</v>
      </c>
      <c r="J38">
        <f t="shared" si="2"/>
        <v>-8.3915578069145429</v>
      </c>
      <c r="K38">
        <f t="shared" si="3"/>
        <v>-11.975582421469431</v>
      </c>
    </row>
    <row r="39" spans="1:15" x14ac:dyDescent="0.25">
      <c r="G39">
        <v>325</v>
      </c>
      <c r="H39">
        <f t="shared" si="0"/>
        <v>323.00006944653308</v>
      </c>
      <c r="I39">
        <f t="shared" si="1"/>
        <v>-5.4508093071712684</v>
      </c>
      <c r="J39">
        <f t="shared" si="2"/>
        <v>-9.3016394483024598</v>
      </c>
      <c r="K39">
        <f t="shared" si="3"/>
        <v>-13.152469589433654</v>
      </c>
    </row>
    <row r="40" spans="1:15" x14ac:dyDescent="0.25">
      <c r="G40">
        <v>330</v>
      </c>
      <c r="H40">
        <f t="shared" si="0"/>
        <v>327.41183415241545</v>
      </c>
      <c r="I40">
        <f t="shared" si="1"/>
        <v>-6.1066878631851171</v>
      </c>
      <c r="J40">
        <f t="shared" si="2"/>
        <v>-10.23692597209487</v>
      </c>
      <c r="K40">
        <f t="shared" si="3"/>
        <v>-14.367164081004628</v>
      </c>
    </row>
    <row r="41" spans="1:15" x14ac:dyDescent="0.25">
      <c r="G41">
        <v>335</v>
      </c>
      <c r="H41">
        <f t="shared" si="0"/>
        <v>331.82359885829783</v>
      </c>
      <c r="I41">
        <f t="shared" si="1"/>
        <v>-6.7755595952355474</v>
      </c>
      <c r="J41">
        <f t="shared" si="2"/>
        <v>-11.198198847960443</v>
      </c>
      <c r="K41">
        <f t="shared" si="3"/>
        <v>-15.62083810068534</v>
      </c>
    </row>
    <row r="42" spans="1:15" x14ac:dyDescent="0.25">
      <c r="G42">
        <v>340</v>
      </c>
      <c r="H42">
        <f t="shared" si="0"/>
        <v>336.23536356418015</v>
      </c>
      <c r="I42">
        <f t="shared" si="1"/>
        <v>-7.4578212035742162</v>
      </c>
      <c r="J42">
        <f t="shared" si="2"/>
        <v>-12.186251476402477</v>
      </c>
      <c r="K42">
        <f t="shared" si="3"/>
        <v>-16.914681749230741</v>
      </c>
    </row>
    <row r="43" spans="1:15" x14ac:dyDescent="0.25">
      <c r="G43">
        <v>345</v>
      </c>
      <c r="H43">
        <f t="shared" si="0"/>
        <v>340.64712827006252</v>
      </c>
      <c r="I43">
        <f t="shared" si="1"/>
        <v>-8.1538753538700544</v>
      </c>
      <c r="J43">
        <f t="shared" si="2"/>
        <v>-13.201889188758866</v>
      </c>
      <c r="K43">
        <f t="shared" si="3"/>
        <v>-18.249903023647679</v>
      </c>
    </row>
    <row r="44" spans="1:15" x14ac:dyDescent="0.25">
      <c r="G44">
        <v>350</v>
      </c>
      <c r="H44">
        <f t="shared" si="0"/>
        <v>345.05889297594484</v>
      </c>
      <c r="I44">
        <f t="shared" si="1"/>
        <v>-8.8641306772093706</v>
      </c>
      <c r="J44">
        <f t="shared" si="2"/>
        <v>-14.245929247202195</v>
      </c>
      <c r="K44">
        <f t="shared" si="3"/>
        <v>-19.627727817195023</v>
      </c>
    </row>
    <row r="45" spans="1:15" x14ac:dyDescent="0.25">
      <c r="G45">
        <v>355</v>
      </c>
      <c r="H45">
        <f t="shared" si="0"/>
        <v>349.47065768182722</v>
      </c>
      <c r="I45">
        <f t="shared" si="1"/>
        <v>-9.5890017700957326</v>
      </c>
      <c r="J45">
        <f t="shared" si="2"/>
        <v>-15.319200844739632</v>
      </c>
      <c r="K45">
        <f t="shared" si="3"/>
        <v>-21.049399919383529</v>
      </c>
    </row>
    <row r="46" spans="1:15" x14ac:dyDescent="0.25">
      <c r="G46">
        <v>360</v>
      </c>
      <c r="H46">
        <f t="shared" si="0"/>
        <v>353.8824223877096</v>
      </c>
      <c r="I46">
        <f t="shared" si="1"/>
        <v>-10.328909194450066</v>
      </c>
      <c r="J46">
        <f t="shared" si="2"/>
        <v>-16.422545105213011</v>
      </c>
      <c r="K46">
        <f t="shared" si="3"/>
        <v>-22.51618101597596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A7FBA-9D80-4E35-86BB-8B2908C0C38D}">
  <sheetPr codeName="TEC"/>
  <dimension ref="A1:AG179"/>
  <sheetViews>
    <sheetView workbookViewId="0">
      <selection activeCell="B11" sqref="B11"/>
    </sheetView>
  </sheetViews>
  <sheetFormatPr defaultRowHeight="12.75" x14ac:dyDescent="0.2"/>
  <cols>
    <col min="1" max="1" width="9.140625" style="5"/>
    <col min="2" max="12" width="12.5703125" style="5" bestFit="1" customWidth="1"/>
    <col min="13" max="13" width="3.85546875" style="5" customWidth="1"/>
    <col min="14" max="17" width="5.85546875" style="5" customWidth="1"/>
    <col min="18" max="257" width="9.140625" style="5"/>
    <col min="258" max="268" width="12.5703125" style="5" bestFit="1" customWidth="1"/>
    <col min="269" max="269" width="3.85546875" style="5" customWidth="1"/>
    <col min="270" max="273" width="5.85546875" style="5" customWidth="1"/>
    <col min="274" max="513" width="9.140625" style="5"/>
    <col min="514" max="524" width="12.5703125" style="5" bestFit="1" customWidth="1"/>
    <col min="525" max="525" width="3.85546875" style="5" customWidth="1"/>
    <col min="526" max="529" width="5.85546875" style="5" customWidth="1"/>
    <col min="530" max="769" width="9.140625" style="5"/>
    <col min="770" max="780" width="12.5703125" style="5" bestFit="1" customWidth="1"/>
    <col min="781" max="781" width="3.85546875" style="5" customWidth="1"/>
    <col min="782" max="785" width="5.85546875" style="5" customWidth="1"/>
    <col min="786" max="1025" width="9.140625" style="5"/>
    <col min="1026" max="1036" width="12.5703125" style="5" bestFit="1" customWidth="1"/>
    <col min="1037" max="1037" width="3.85546875" style="5" customWidth="1"/>
    <col min="1038" max="1041" width="5.85546875" style="5" customWidth="1"/>
    <col min="1042" max="1281" width="9.140625" style="5"/>
    <col min="1282" max="1292" width="12.5703125" style="5" bestFit="1" customWidth="1"/>
    <col min="1293" max="1293" width="3.85546875" style="5" customWidth="1"/>
    <col min="1294" max="1297" width="5.85546875" style="5" customWidth="1"/>
    <col min="1298" max="1537" width="9.140625" style="5"/>
    <col min="1538" max="1548" width="12.5703125" style="5" bestFit="1" customWidth="1"/>
    <col min="1549" max="1549" width="3.85546875" style="5" customWidth="1"/>
    <col min="1550" max="1553" width="5.85546875" style="5" customWidth="1"/>
    <col min="1554" max="1793" width="9.140625" style="5"/>
    <col min="1794" max="1804" width="12.5703125" style="5" bestFit="1" customWidth="1"/>
    <col min="1805" max="1805" width="3.85546875" style="5" customWidth="1"/>
    <col min="1806" max="1809" width="5.85546875" style="5" customWidth="1"/>
    <col min="1810" max="2049" width="9.140625" style="5"/>
    <col min="2050" max="2060" width="12.5703125" style="5" bestFit="1" customWidth="1"/>
    <col min="2061" max="2061" width="3.85546875" style="5" customWidth="1"/>
    <col min="2062" max="2065" width="5.85546875" style="5" customWidth="1"/>
    <col min="2066" max="2305" width="9.140625" style="5"/>
    <col min="2306" max="2316" width="12.5703125" style="5" bestFit="1" customWidth="1"/>
    <col min="2317" max="2317" width="3.85546875" style="5" customWidth="1"/>
    <col min="2318" max="2321" width="5.85546875" style="5" customWidth="1"/>
    <col min="2322" max="2561" width="9.140625" style="5"/>
    <col min="2562" max="2572" width="12.5703125" style="5" bestFit="1" customWidth="1"/>
    <col min="2573" max="2573" width="3.85546875" style="5" customWidth="1"/>
    <col min="2574" max="2577" width="5.85546875" style="5" customWidth="1"/>
    <col min="2578" max="2817" width="9.140625" style="5"/>
    <col min="2818" max="2828" width="12.5703125" style="5" bestFit="1" customWidth="1"/>
    <col min="2829" max="2829" width="3.85546875" style="5" customWidth="1"/>
    <col min="2830" max="2833" width="5.85546875" style="5" customWidth="1"/>
    <col min="2834" max="3073" width="9.140625" style="5"/>
    <col min="3074" max="3084" width="12.5703125" style="5" bestFit="1" customWidth="1"/>
    <col min="3085" max="3085" width="3.85546875" style="5" customWidth="1"/>
    <col min="3086" max="3089" width="5.85546875" style="5" customWidth="1"/>
    <col min="3090" max="3329" width="9.140625" style="5"/>
    <col min="3330" max="3340" width="12.5703125" style="5" bestFit="1" customWidth="1"/>
    <col min="3341" max="3341" width="3.85546875" style="5" customWidth="1"/>
    <col min="3342" max="3345" width="5.85546875" style="5" customWidth="1"/>
    <col min="3346" max="3585" width="9.140625" style="5"/>
    <col min="3586" max="3596" width="12.5703125" style="5" bestFit="1" customWidth="1"/>
    <col min="3597" max="3597" width="3.85546875" style="5" customWidth="1"/>
    <col min="3598" max="3601" width="5.85546875" style="5" customWidth="1"/>
    <col min="3602" max="3841" width="9.140625" style="5"/>
    <col min="3842" max="3852" width="12.5703125" style="5" bestFit="1" customWidth="1"/>
    <col min="3853" max="3853" width="3.85546875" style="5" customWidth="1"/>
    <col min="3854" max="3857" width="5.85546875" style="5" customWidth="1"/>
    <col min="3858" max="4097" width="9.140625" style="5"/>
    <col min="4098" max="4108" width="12.5703125" style="5" bestFit="1" customWidth="1"/>
    <col min="4109" max="4109" width="3.85546875" style="5" customWidth="1"/>
    <col min="4110" max="4113" width="5.85546875" style="5" customWidth="1"/>
    <col min="4114" max="4353" width="9.140625" style="5"/>
    <col min="4354" max="4364" width="12.5703125" style="5" bestFit="1" customWidth="1"/>
    <col min="4365" max="4365" width="3.85546875" style="5" customWidth="1"/>
    <col min="4366" max="4369" width="5.85546875" style="5" customWidth="1"/>
    <col min="4370" max="4609" width="9.140625" style="5"/>
    <col min="4610" max="4620" width="12.5703125" style="5" bestFit="1" customWidth="1"/>
    <col min="4621" max="4621" width="3.85546875" style="5" customWidth="1"/>
    <col min="4622" max="4625" width="5.85546875" style="5" customWidth="1"/>
    <col min="4626" max="4865" width="9.140625" style="5"/>
    <col min="4866" max="4876" width="12.5703125" style="5" bestFit="1" customWidth="1"/>
    <col min="4877" max="4877" width="3.85546875" style="5" customWidth="1"/>
    <col min="4878" max="4881" width="5.85546875" style="5" customWidth="1"/>
    <col min="4882" max="5121" width="9.140625" style="5"/>
    <col min="5122" max="5132" width="12.5703125" style="5" bestFit="1" customWidth="1"/>
    <col min="5133" max="5133" width="3.85546875" style="5" customWidth="1"/>
    <col min="5134" max="5137" width="5.85546875" style="5" customWidth="1"/>
    <col min="5138" max="5377" width="9.140625" style="5"/>
    <col min="5378" max="5388" width="12.5703125" style="5" bestFit="1" customWidth="1"/>
    <col min="5389" max="5389" width="3.85546875" style="5" customWidth="1"/>
    <col min="5390" max="5393" width="5.85546875" style="5" customWidth="1"/>
    <col min="5394" max="5633" width="9.140625" style="5"/>
    <col min="5634" max="5644" width="12.5703125" style="5" bestFit="1" customWidth="1"/>
    <col min="5645" max="5645" width="3.85546875" style="5" customWidth="1"/>
    <col min="5646" max="5649" width="5.85546875" style="5" customWidth="1"/>
    <col min="5650" max="5889" width="9.140625" style="5"/>
    <col min="5890" max="5900" width="12.5703125" style="5" bestFit="1" customWidth="1"/>
    <col min="5901" max="5901" width="3.85546875" style="5" customWidth="1"/>
    <col min="5902" max="5905" width="5.85546875" style="5" customWidth="1"/>
    <col min="5906" max="6145" width="9.140625" style="5"/>
    <col min="6146" max="6156" width="12.5703125" style="5" bestFit="1" customWidth="1"/>
    <col min="6157" max="6157" width="3.85546875" style="5" customWidth="1"/>
    <col min="6158" max="6161" width="5.85546875" style="5" customWidth="1"/>
    <col min="6162" max="6401" width="9.140625" style="5"/>
    <col min="6402" max="6412" width="12.5703125" style="5" bestFit="1" customWidth="1"/>
    <col min="6413" max="6413" width="3.85546875" style="5" customWidth="1"/>
    <col min="6414" max="6417" width="5.85546875" style="5" customWidth="1"/>
    <col min="6418" max="6657" width="9.140625" style="5"/>
    <col min="6658" max="6668" width="12.5703125" style="5" bestFit="1" customWidth="1"/>
    <col min="6669" max="6669" width="3.85546875" style="5" customWidth="1"/>
    <col min="6670" max="6673" width="5.85546875" style="5" customWidth="1"/>
    <col min="6674" max="6913" width="9.140625" style="5"/>
    <col min="6914" max="6924" width="12.5703125" style="5" bestFit="1" customWidth="1"/>
    <col min="6925" max="6925" width="3.85546875" style="5" customWidth="1"/>
    <col min="6926" max="6929" width="5.85546875" style="5" customWidth="1"/>
    <col min="6930" max="7169" width="9.140625" style="5"/>
    <col min="7170" max="7180" width="12.5703125" style="5" bestFit="1" customWidth="1"/>
    <col min="7181" max="7181" width="3.85546875" style="5" customWidth="1"/>
    <col min="7182" max="7185" width="5.85546875" style="5" customWidth="1"/>
    <col min="7186" max="7425" width="9.140625" style="5"/>
    <col min="7426" max="7436" width="12.5703125" style="5" bestFit="1" customWidth="1"/>
    <col min="7437" max="7437" width="3.85546875" style="5" customWidth="1"/>
    <col min="7438" max="7441" width="5.85546875" style="5" customWidth="1"/>
    <col min="7442" max="7681" width="9.140625" style="5"/>
    <col min="7682" max="7692" width="12.5703125" style="5" bestFit="1" customWidth="1"/>
    <col min="7693" max="7693" width="3.85546875" style="5" customWidth="1"/>
    <col min="7694" max="7697" width="5.85546875" style="5" customWidth="1"/>
    <col min="7698" max="7937" width="9.140625" style="5"/>
    <col min="7938" max="7948" width="12.5703125" style="5" bestFit="1" customWidth="1"/>
    <col min="7949" max="7949" width="3.85546875" style="5" customWidth="1"/>
    <col min="7950" max="7953" width="5.85546875" style="5" customWidth="1"/>
    <col min="7954" max="8193" width="9.140625" style="5"/>
    <col min="8194" max="8204" width="12.5703125" style="5" bestFit="1" customWidth="1"/>
    <col min="8205" max="8205" width="3.85546875" style="5" customWidth="1"/>
    <col min="8206" max="8209" width="5.85546875" style="5" customWidth="1"/>
    <col min="8210" max="8449" width="9.140625" style="5"/>
    <col min="8450" max="8460" width="12.5703125" style="5" bestFit="1" customWidth="1"/>
    <col min="8461" max="8461" width="3.85546875" style="5" customWidth="1"/>
    <col min="8462" max="8465" width="5.85546875" style="5" customWidth="1"/>
    <col min="8466" max="8705" width="9.140625" style="5"/>
    <col min="8706" max="8716" width="12.5703125" style="5" bestFit="1" customWidth="1"/>
    <col min="8717" max="8717" width="3.85546875" style="5" customWidth="1"/>
    <col min="8718" max="8721" width="5.85546875" style="5" customWidth="1"/>
    <col min="8722" max="8961" width="9.140625" style="5"/>
    <col min="8962" max="8972" width="12.5703125" style="5" bestFit="1" customWidth="1"/>
    <col min="8973" max="8973" width="3.85546875" style="5" customWidth="1"/>
    <col min="8974" max="8977" width="5.85546875" style="5" customWidth="1"/>
    <col min="8978" max="9217" width="9.140625" style="5"/>
    <col min="9218" max="9228" width="12.5703125" style="5" bestFit="1" customWidth="1"/>
    <col min="9229" max="9229" width="3.85546875" style="5" customWidth="1"/>
    <col min="9230" max="9233" width="5.85546875" style="5" customWidth="1"/>
    <col min="9234" max="9473" width="9.140625" style="5"/>
    <col min="9474" max="9484" width="12.5703125" style="5" bestFit="1" customWidth="1"/>
    <col min="9485" max="9485" width="3.85546875" style="5" customWidth="1"/>
    <col min="9486" max="9489" width="5.85546875" style="5" customWidth="1"/>
    <col min="9490" max="9729" width="9.140625" style="5"/>
    <col min="9730" max="9740" width="12.5703125" style="5" bestFit="1" customWidth="1"/>
    <col min="9741" max="9741" width="3.85546875" style="5" customWidth="1"/>
    <col min="9742" max="9745" width="5.85546875" style="5" customWidth="1"/>
    <col min="9746" max="9985" width="9.140625" style="5"/>
    <col min="9986" max="9996" width="12.5703125" style="5" bestFit="1" customWidth="1"/>
    <col min="9997" max="9997" width="3.85546875" style="5" customWidth="1"/>
    <col min="9998" max="10001" width="5.85546875" style="5" customWidth="1"/>
    <col min="10002" max="10241" width="9.140625" style="5"/>
    <col min="10242" max="10252" width="12.5703125" style="5" bestFit="1" customWidth="1"/>
    <col min="10253" max="10253" width="3.85546875" style="5" customWidth="1"/>
    <col min="10254" max="10257" width="5.85546875" style="5" customWidth="1"/>
    <col min="10258" max="10497" width="9.140625" style="5"/>
    <col min="10498" max="10508" width="12.5703125" style="5" bestFit="1" customWidth="1"/>
    <col min="10509" max="10509" width="3.85546875" style="5" customWidth="1"/>
    <col min="10510" max="10513" width="5.85546875" style="5" customWidth="1"/>
    <col min="10514" max="10753" width="9.140625" style="5"/>
    <col min="10754" max="10764" width="12.5703125" style="5" bestFit="1" customWidth="1"/>
    <col min="10765" max="10765" width="3.85546875" style="5" customWidth="1"/>
    <col min="10766" max="10769" width="5.85546875" style="5" customWidth="1"/>
    <col min="10770" max="11009" width="9.140625" style="5"/>
    <col min="11010" max="11020" width="12.5703125" style="5" bestFit="1" customWidth="1"/>
    <col min="11021" max="11021" width="3.85546875" style="5" customWidth="1"/>
    <col min="11022" max="11025" width="5.85546875" style="5" customWidth="1"/>
    <col min="11026" max="11265" width="9.140625" style="5"/>
    <col min="11266" max="11276" width="12.5703125" style="5" bestFit="1" customWidth="1"/>
    <col min="11277" max="11277" width="3.85546875" style="5" customWidth="1"/>
    <col min="11278" max="11281" width="5.85546875" style="5" customWidth="1"/>
    <col min="11282" max="11521" width="9.140625" style="5"/>
    <col min="11522" max="11532" width="12.5703125" style="5" bestFit="1" customWidth="1"/>
    <col min="11533" max="11533" width="3.85546875" style="5" customWidth="1"/>
    <col min="11534" max="11537" width="5.85546875" style="5" customWidth="1"/>
    <col min="11538" max="11777" width="9.140625" style="5"/>
    <col min="11778" max="11788" width="12.5703125" style="5" bestFit="1" customWidth="1"/>
    <col min="11789" max="11789" width="3.85546875" style="5" customWidth="1"/>
    <col min="11790" max="11793" width="5.85546875" style="5" customWidth="1"/>
    <col min="11794" max="12033" width="9.140625" style="5"/>
    <col min="12034" max="12044" width="12.5703125" style="5" bestFit="1" customWidth="1"/>
    <col min="12045" max="12045" width="3.85546875" style="5" customWidth="1"/>
    <col min="12046" max="12049" width="5.85546875" style="5" customWidth="1"/>
    <col min="12050" max="12289" width="9.140625" style="5"/>
    <col min="12290" max="12300" width="12.5703125" style="5" bestFit="1" customWidth="1"/>
    <col min="12301" max="12301" width="3.85546875" style="5" customWidth="1"/>
    <col min="12302" max="12305" width="5.85546875" style="5" customWidth="1"/>
    <col min="12306" max="12545" width="9.140625" style="5"/>
    <col min="12546" max="12556" width="12.5703125" style="5" bestFit="1" customWidth="1"/>
    <col min="12557" max="12557" width="3.85546875" style="5" customWidth="1"/>
    <col min="12558" max="12561" width="5.85546875" style="5" customWidth="1"/>
    <col min="12562" max="12801" width="9.140625" style="5"/>
    <col min="12802" max="12812" width="12.5703125" style="5" bestFit="1" customWidth="1"/>
    <col min="12813" max="12813" width="3.85546875" style="5" customWidth="1"/>
    <col min="12814" max="12817" width="5.85546875" style="5" customWidth="1"/>
    <col min="12818" max="13057" width="9.140625" style="5"/>
    <col min="13058" max="13068" width="12.5703125" style="5" bestFit="1" customWidth="1"/>
    <col min="13069" max="13069" width="3.85546875" style="5" customWidth="1"/>
    <col min="13070" max="13073" width="5.85546875" style="5" customWidth="1"/>
    <col min="13074" max="13313" width="9.140625" style="5"/>
    <col min="13314" max="13324" width="12.5703125" style="5" bestFit="1" customWidth="1"/>
    <col min="13325" max="13325" width="3.85546875" style="5" customWidth="1"/>
    <col min="13326" max="13329" width="5.85546875" style="5" customWidth="1"/>
    <col min="13330" max="13569" width="9.140625" style="5"/>
    <col min="13570" max="13580" width="12.5703125" style="5" bestFit="1" customWidth="1"/>
    <col min="13581" max="13581" width="3.85546875" style="5" customWidth="1"/>
    <col min="13582" max="13585" width="5.85546875" style="5" customWidth="1"/>
    <col min="13586" max="13825" width="9.140625" style="5"/>
    <col min="13826" max="13836" width="12.5703125" style="5" bestFit="1" customWidth="1"/>
    <col min="13837" max="13837" width="3.85546875" style="5" customWidth="1"/>
    <col min="13838" max="13841" width="5.85546875" style="5" customWidth="1"/>
    <col min="13842" max="14081" width="9.140625" style="5"/>
    <col min="14082" max="14092" width="12.5703125" style="5" bestFit="1" customWidth="1"/>
    <col min="14093" max="14093" width="3.85546875" style="5" customWidth="1"/>
    <col min="14094" max="14097" width="5.85546875" style="5" customWidth="1"/>
    <col min="14098" max="14337" width="9.140625" style="5"/>
    <col min="14338" max="14348" width="12.5703125" style="5" bestFit="1" customWidth="1"/>
    <col min="14349" max="14349" width="3.85546875" style="5" customWidth="1"/>
    <col min="14350" max="14353" width="5.85546875" style="5" customWidth="1"/>
    <col min="14354" max="14593" width="9.140625" style="5"/>
    <col min="14594" max="14604" width="12.5703125" style="5" bestFit="1" customWidth="1"/>
    <col min="14605" max="14605" width="3.85546875" style="5" customWidth="1"/>
    <col min="14606" max="14609" width="5.85546875" style="5" customWidth="1"/>
    <col min="14610" max="14849" width="9.140625" style="5"/>
    <col min="14850" max="14860" width="12.5703125" style="5" bestFit="1" customWidth="1"/>
    <col min="14861" max="14861" width="3.85546875" style="5" customWidth="1"/>
    <col min="14862" max="14865" width="5.85546875" style="5" customWidth="1"/>
    <col min="14866" max="15105" width="9.140625" style="5"/>
    <col min="15106" max="15116" width="12.5703125" style="5" bestFit="1" customWidth="1"/>
    <col min="15117" max="15117" width="3.85546875" style="5" customWidth="1"/>
    <col min="15118" max="15121" width="5.85546875" style="5" customWidth="1"/>
    <col min="15122" max="15361" width="9.140625" style="5"/>
    <col min="15362" max="15372" width="12.5703125" style="5" bestFit="1" customWidth="1"/>
    <col min="15373" max="15373" width="3.85546875" style="5" customWidth="1"/>
    <col min="15374" max="15377" width="5.85546875" style="5" customWidth="1"/>
    <col min="15378" max="15617" width="9.140625" style="5"/>
    <col min="15618" max="15628" width="12.5703125" style="5" bestFit="1" customWidth="1"/>
    <col min="15629" max="15629" width="3.85546875" style="5" customWidth="1"/>
    <col min="15630" max="15633" width="5.85546875" style="5" customWidth="1"/>
    <col min="15634" max="15873" width="9.140625" style="5"/>
    <col min="15874" max="15884" width="12.5703125" style="5" bestFit="1" customWidth="1"/>
    <col min="15885" max="15885" width="3.85546875" style="5" customWidth="1"/>
    <col min="15886" max="15889" width="5.85546875" style="5" customWidth="1"/>
    <col min="15890" max="16129" width="9.140625" style="5"/>
    <col min="16130" max="16140" width="12.5703125" style="5" bestFit="1" customWidth="1"/>
    <col min="16141" max="16141" width="3.85546875" style="5" customWidth="1"/>
    <col min="16142" max="16145" width="5.85546875" style="5" customWidth="1"/>
    <col min="16146" max="16384" width="9.140625" style="5"/>
  </cols>
  <sheetData>
    <row r="1" spans="1:33" ht="19.5" thickBot="1" x14ac:dyDescent="0.35">
      <c r="A1" s="26" t="s">
        <v>66</v>
      </c>
      <c r="B1" s="27"/>
      <c r="C1" s="27"/>
      <c r="D1" s="28"/>
      <c r="G1" s="6"/>
      <c r="H1" s="7"/>
      <c r="I1" s="7"/>
      <c r="J1" s="6"/>
      <c r="K1" s="6"/>
      <c r="L1" s="8" t="s">
        <v>67</v>
      </c>
    </row>
    <row r="2" spans="1:33" ht="18" x14ac:dyDescent="0.25">
      <c r="A2" s="9" t="s">
        <v>68</v>
      </c>
      <c r="B2" s="10"/>
      <c r="C2" s="10"/>
      <c r="D2" s="10"/>
      <c r="E2" s="10" t="str">
        <f>"Predicted TEC performance for Thot = "&amp;$B$10&amp;", Imax = "&amp;B$13</f>
        <v>Predicted TEC performance for Thot = -8.14999999999998, Imax = 2.5</v>
      </c>
      <c r="F2" s="10"/>
      <c r="G2" s="10"/>
      <c r="H2" s="10"/>
      <c r="I2" s="10"/>
      <c r="J2" s="10"/>
      <c r="K2" s="10"/>
      <c r="L2" s="11"/>
      <c r="U2" s="12" t="s">
        <v>69</v>
      </c>
    </row>
    <row r="3" spans="1:33" x14ac:dyDescent="0.2">
      <c r="A3" s="13" t="s">
        <v>70</v>
      </c>
      <c r="B3" s="14">
        <v>27</v>
      </c>
      <c r="C3" s="14">
        <v>50</v>
      </c>
      <c r="D3" s="5" t="s">
        <v>2</v>
      </c>
      <c r="L3" s="15"/>
      <c r="U3" s="5" t="s">
        <v>71</v>
      </c>
    </row>
    <row r="4" spans="1:33" x14ac:dyDescent="0.2">
      <c r="A4" s="13" t="s">
        <v>72</v>
      </c>
      <c r="B4" s="14">
        <v>65</v>
      </c>
      <c r="C4" s="14">
        <v>73</v>
      </c>
      <c r="D4" s="5" t="s">
        <v>2</v>
      </c>
      <c r="L4" s="15"/>
      <c r="U4" s="5" t="s">
        <v>73</v>
      </c>
    </row>
    <row r="5" spans="1:33" x14ac:dyDescent="0.2">
      <c r="A5" s="13" t="s">
        <v>74</v>
      </c>
      <c r="B5" s="14">
        <v>13</v>
      </c>
      <c r="C5" s="14">
        <v>14</v>
      </c>
      <c r="D5" s="5" t="s">
        <v>10</v>
      </c>
      <c r="L5" s="15"/>
      <c r="U5" s="5" t="s">
        <v>75</v>
      </c>
    </row>
    <row r="6" spans="1:33" x14ac:dyDescent="0.2">
      <c r="A6" s="13" t="s">
        <v>76</v>
      </c>
      <c r="B6" s="14">
        <v>2.5</v>
      </c>
      <c r="C6" s="14">
        <v>2.5</v>
      </c>
      <c r="D6" s="5" t="s">
        <v>6</v>
      </c>
      <c r="L6" s="15"/>
    </row>
    <row r="7" spans="1:33" x14ac:dyDescent="0.2">
      <c r="A7" s="13" t="s">
        <v>77</v>
      </c>
      <c r="B7" s="14">
        <v>8.1999999999999993</v>
      </c>
      <c r="C7" s="14">
        <v>9.1999999999999993</v>
      </c>
      <c r="D7" s="5" t="s">
        <v>7</v>
      </c>
      <c r="L7" s="15"/>
      <c r="U7" s="5" t="s">
        <v>78</v>
      </c>
      <c r="Y7" s="5" t="s">
        <v>79</v>
      </c>
    </row>
    <row r="8" spans="1:33" ht="13.5" thickBot="1" x14ac:dyDescent="0.25">
      <c r="A8" s="16"/>
      <c r="B8" s="17"/>
      <c r="C8" s="17"/>
      <c r="D8" s="17"/>
      <c r="E8" s="17"/>
      <c r="F8" s="17"/>
      <c r="G8" s="17"/>
      <c r="H8" s="17"/>
      <c r="I8" s="17"/>
      <c r="J8" s="17"/>
      <c r="K8" s="17"/>
      <c r="L8" s="18"/>
      <c r="U8" s="5" t="s">
        <v>80</v>
      </c>
      <c r="V8" s="5">
        <v>66</v>
      </c>
      <c r="Y8" s="5" t="s">
        <v>81</v>
      </c>
      <c r="Z8" s="5">
        <v>60</v>
      </c>
    </row>
    <row r="9" spans="1:33" x14ac:dyDescent="0.2">
      <c r="A9" s="9" t="s">
        <v>82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1"/>
      <c r="U9" s="5" t="s">
        <v>83</v>
      </c>
      <c r="V9" s="5">
        <v>554</v>
      </c>
      <c r="Y9" s="5" t="s">
        <v>84</v>
      </c>
      <c r="Z9" s="5">
        <v>451</v>
      </c>
    </row>
    <row r="10" spans="1:33" x14ac:dyDescent="0.2">
      <c r="A10" s="13" t="s">
        <v>70</v>
      </c>
      <c r="B10" s="14">
        <f>'TEC Orb Ave Sim'!B7-273.15</f>
        <v>-8.1499999999999773</v>
      </c>
      <c r="C10" s="5" t="s">
        <v>8</v>
      </c>
      <c r="D10" s="5">
        <f>(B12+B13^2*(B14/B13)/2)/B13</f>
        <v>7.9245652173913061</v>
      </c>
      <c r="L10" s="15"/>
      <c r="V10" s="5">
        <f>(V9-V8)/10</f>
        <v>48.8</v>
      </c>
      <c r="Z10" s="5">
        <f>(Z9-Z8)/10</f>
        <v>39.1</v>
      </c>
    </row>
    <row r="11" spans="1:33" x14ac:dyDescent="0.2">
      <c r="A11" s="13" t="s">
        <v>72</v>
      </c>
      <c r="B11" s="5">
        <f>TREND($B4:$C4,$B$3:$C$3,$B$10,TRUE)</f>
        <v>52.773913043478281</v>
      </c>
      <c r="L11" s="15"/>
    </row>
    <row r="12" spans="1:33" x14ac:dyDescent="0.2">
      <c r="A12" s="13" t="s">
        <v>74</v>
      </c>
      <c r="B12" s="5">
        <f>TREND($B5:$C5,$B$3:$C$3,$B$10,TRUE)</f>
        <v>11.471739130434784</v>
      </c>
      <c r="L12" s="15"/>
      <c r="U12" s="19" t="s">
        <v>85</v>
      </c>
      <c r="V12" s="19" t="s">
        <v>86</v>
      </c>
      <c r="W12" s="19" t="s">
        <v>87</v>
      </c>
      <c r="X12" s="19" t="s">
        <v>81</v>
      </c>
      <c r="Y12" s="19" t="s">
        <v>84</v>
      </c>
      <c r="Z12" s="19" t="s">
        <v>88</v>
      </c>
      <c r="AA12" s="19" t="s">
        <v>89</v>
      </c>
      <c r="AB12" s="19" t="s">
        <v>90</v>
      </c>
      <c r="AC12" s="19" t="s">
        <v>91</v>
      </c>
      <c r="AD12" s="19" t="s">
        <v>92</v>
      </c>
      <c r="AE12" s="19" t="s">
        <v>93</v>
      </c>
      <c r="AF12" s="19" t="s">
        <v>94</v>
      </c>
      <c r="AG12" s="19"/>
    </row>
    <row r="13" spans="1:33" x14ac:dyDescent="0.2">
      <c r="A13" s="13" t="s">
        <v>76</v>
      </c>
      <c r="B13" s="5">
        <f>TREND($B6:$C6,$B$3:$C$3,$B$10,TRUE)</f>
        <v>2.5</v>
      </c>
      <c r="L13" s="15"/>
      <c r="U13" s="19">
        <v>0</v>
      </c>
      <c r="V13" s="19">
        <f t="shared" ref="V13:V33" si="0">ROUND(U13*$V$10+$V$8,0)</f>
        <v>66</v>
      </c>
      <c r="W13" s="19">
        <v>451</v>
      </c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x14ac:dyDescent="0.2">
      <c r="A14" s="13" t="s">
        <v>77</v>
      </c>
      <c r="B14" s="5">
        <f>TREND($B7:$C7,$B$3:$C$3,$B$10,TRUE)</f>
        <v>6.6717391304347844</v>
      </c>
      <c r="L14" s="15"/>
      <c r="U14" s="19">
        <f t="shared" ref="U14:U33" si="1">U13+0.5</f>
        <v>0.5</v>
      </c>
      <c r="V14" s="19">
        <f t="shared" si="0"/>
        <v>90</v>
      </c>
      <c r="W14" s="19">
        <v>396</v>
      </c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13.5" thickBot="1" x14ac:dyDescent="0.25">
      <c r="A15" s="16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8"/>
      <c r="U15" s="19">
        <f t="shared" si="1"/>
        <v>1</v>
      </c>
      <c r="V15" s="19">
        <f t="shared" si="0"/>
        <v>115</v>
      </c>
      <c r="W15" s="19">
        <v>348</v>
      </c>
      <c r="X15" s="19">
        <v>410</v>
      </c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x14ac:dyDescent="0.2">
      <c r="A16" s="9" t="s">
        <v>95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1"/>
      <c r="U16" s="19">
        <f t="shared" si="1"/>
        <v>1.5</v>
      </c>
      <c r="V16" s="19">
        <f t="shared" si="0"/>
        <v>139</v>
      </c>
      <c r="W16" s="19">
        <v>308</v>
      </c>
      <c r="X16" s="19">
        <v>361</v>
      </c>
      <c r="Y16" s="19">
        <v>434</v>
      </c>
      <c r="Z16" s="19"/>
      <c r="AA16" s="19"/>
      <c r="AB16" s="19"/>
      <c r="AC16" s="19"/>
      <c r="AD16" s="19"/>
      <c r="AE16" s="19"/>
      <c r="AF16" s="19"/>
      <c r="AG16" s="19"/>
    </row>
    <row r="17" spans="1:33" x14ac:dyDescent="0.2">
      <c r="A17" s="13" t="s">
        <v>11</v>
      </c>
      <c r="B17" s="5">
        <f>$B$12*(COLUMN(B14)-2)*0.1</f>
        <v>0</v>
      </c>
      <c r="C17" s="5">
        <f t="shared" ref="C17:L17" si="2">$B$12*(COLUMN(C14)-2)*0.1</f>
        <v>1.1471739130434784</v>
      </c>
      <c r="D17" s="5">
        <f t="shared" si="2"/>
        <v>2.2943478260869568</v>
      </c>
      <c r="E17" s="5">
        <f t="shared" si="2"/>
        <v>3.4415217391304354</v>
      </c>
      <c r="F17" s="5">
        <f t="shared" si="2"/>
        <v>4.5886956521739135</v>
      </c>
      <c r="G17" s="5">
        <f t="shared" si="2"/>
        <v>5.7358695652173921</v>
      </c>
      <c r="H17" s="5">
        <f t="shared" si="2"/>
        <v>6.8830434782608707</v>
      </c>
      <c r="I17" s="5">
        <f t="shared" si="2"/>
        <v>8.0302173913043493</v>
      </c>
      <c r="J17" s="5">
        <f t="shared" si="2"/>
        <v>9.177391304347827</v>
      </c>
      <c r="K17" s="5">
        <f t="shared" si="2"/>
        <v>10.324565217391307</v>
      </c>
      <c r="L17" s="5">
        <f t="shared" si="2"/>
        <v>11.471739130434784</v>
      </c>
      <c r="N17" s="5" t="s">
        <v>11</v>
      </c>
      <c r="O17" s="5" t="s">
        <v>96</v>
      </c>
      <c r="P17" s="5" t="s">
        <v>97</v>
      </c>
      <c r="Q17" s="5" t="s">
        <v>98</v>
      </c>
      <c r="U17" s="19">
        <f t="shared" si="1"/>
        <v>2</v>
      </c>
      <c r="V17" s="19">
        <f t="shared" si="0"/>
        <v>164</v>
      </c>
      <c r="W17" s="19">
        <v>274</v>
      </c>
      <c r="X17" s="19">
        <v>330</v>
      </c>
      <c r="Y17" s="19">
        <v>393</v>
      </c>
      <c r="Z17" s="19">
        <v>440</v>
      </c>
      <c r="AA17" s="19"/>
      <c r="AB17" s="19"/>
      <c r="AC17" s="19"/>
      <c r="AD17" s="19"/>
      <c r="AE17" s="19"/>
      <c r="AF17" s="19"/>
      <c r="AG17" s="19"/>
    </row>
    <row r="18" spans="1:33" x14ac:dyDescent="0.2">
      <c r="A18" s="13">
        <v>0</v>
      </c>
      <c r="B18" s="5">
        <f>IF(ISERROR($B$11*W36),0,$B$11*W36)</f>
        <v>0</v>
      </c>
      <c r="C18" s="5">
        <f t="shared" ref="C18:L33" si="3">IF(ISERROR($B$11*X36),0,$B$11*X36)</f>
        <v>0</v>
      </c>
      <c r="D18" s="5">
        <f t="shared" si="3"/>
        <v>0</v>
      </c>
      <c r="E18" s="5">
        <f t="shared" si="3"/>
        <v>0</v>
      </c>
      <c r="F18" s="5">
        <f t="shared" si="3"/>
        <v>0</v>
      </c>
      <c r="G18" s="5">
        <f t="shared" si="3"/>
        <v>0</v>
      </c>
      <c r="H18" s="5">
        <f t="shared" si="3"/>
        <v>0</v>
      </c>
      <c r="I18" s="5">
        <f t="shared" si="3"/>
        <v>0</v>
      </c>
      <c r="J18" s="5">
        <f t="shared" si="3"/>
        <v>0</v>
      </c>
      <c r="K18" s="5">
        <f t="shared" si="3"/>
        <v>0</v>
      </c>
      <c r="L18" s="5">
        <f t="shared" si="3"/>
        <v>0</v>
      </c>
      <c r="N18" s="5">
        <f>A18</f>
        <v>0</v>
      </c>
      <c r="O18" s="5">
        <f>N18^2</f>
        <v>0</v>
      </c>
      <c r="P18" s="5">
        <f>N18^3</f>
        <v>0</v>
      </c>
      <c r="Q18" s="5">
        <f>N18^4</f>
        <v>0</v>
      </c>
      <c r="U18" s="19">
        <f t="shared" si="1"/>
        <v>2.5</v>
      </c>
      <c r="V18" s="19">
        <f t="shared" si="0"/>
        <v>188</v>
      </c>
      <c r="W18" s="19">
        <v>246</v>
      </c>
      <c r="X18" s="19">
        <v>298</v>
      </c>
      <c r="Y18" s="19">
        <v>360</v>
      </c>
      <c r="Z18" s="19">
        <v>407</v>
      </c>
      <c r="AA18" s="19"/>
      <c r="AB18" s="19"/>
      <c r="AC18" s="19"/>
      <c r="AD18" s="19"/>
      <c r="AE18" s="19"/>
      <c r="AF18" s="19"/>
      <c r="AG18" s="19"/>
    </row>
    <row r="19" spans="1:33" x14ac:dyDescent="0.2">
      <c r="A19" s="13">
        <f t="shared" ref="A19:A38" si="4">A18+0.05*$B$13</f>
        <v>0.125</v>
      </c>
      <c r="B19" s="5">
        <f t="shared" ref="B19:B38" si="5">IF(ISERROR($B$11*W37),0,$B$11*W37)</f>
        <v>7.4234404536862018</v>
      </c>
      <c r="C19" s="5">
        <f t="shared" si="3"/>
        <v>0</v>
      </c>
      <c r="D19" s="5">
        <f t="shared" si="3"/>
        <v>0</v>
      </c>
      <c r="E19" s="5">
        <f t="shared" si="3"/>
        <v>0</v>
      </c>
      <c r="F19" s="5">
        <f t="shared" si="3"/>
        <v>0</v>
      </c>
      <c r="G19" s="5">
        <f t="shared" si="3"/>
        <v>0</v>
      </c>
      <c r="H19" s="5">
        <f t="shared" si="3"/>
        <v>0</v>
      </c>
      <c r="I19" s="5">
        <f t="shared" si="3"/>
        <v>0</v>
      </c>
      <c r="J19" s="5">
        <f t="shared" si="3"/>
        <v>0</v>
      </c>
      <c r="K19" s="5">
        <f t="shared" si="3"/>
        <v>0</v>
      </c>
      <c r="L19" s="5">
        <f t="shared" si="3"/>
        <v>0</v>
      </c>
      <c r="N19" s="5">
        <f t="shared" ref="N19:N38" si="6">A19</f>
        <v>0.125</v>
      </c>
      <c r="O19" s="5">
        <f t="shared" ref="O19:O38" si="7">N19^2</f>
        <v>1.5625E-2</v>
      </c>
      <c r="P19" s="5">
        <f t="shared" ref="P19:P38" si="8">N19^3</f>
        <v>1.953125E-3</v>
      </c>
      <c r="Q19" s="5">
        <f t="shared" ref="Q19:Q38" si="9">N19^4</f>
        <v>2.44140625E-4</v>
      </c>
      <c r="U19" s="19">
        <f t="shared" si="1"/>
        <v>3</v>
      </c>
      <c r="V19" s="19">
        <f t="shared" si="0"/>
        <v>212</v>
      </c>
      <c r="W19" s="19">
        <v>222</v>
      </c>
      <c r="X19" s="19">
        <v>274</v>
      </c>
      <c r="Y19" s="19">
        <v>329</v>
      </c>
      <c r="Z19" s="19">
        <v>374</v>
      </c>
      <c r="AA19" s="19">
        <v>425</v>
      </c>
      <c r="AB19" s="19"/>
      <c r="AC19" s="19"/>
      <c r="AD19" s="19"/>
      <c r="AE19" s="19"/>
      <c r="AF19" s="19"/>
      <c r="AG19" s="19"/>
    </row>
    <row r="20" spans="1:33" x14ac:dyDescent="0.2">
      <c r="A20" s="13">
        <f t="shared" si="4"/>
        <v>0.25</v>
      </c>
      <c r="B20" s="5">
        <f t="shared" si="5"/>
        <v>13.902079395085071</v>
      </c>
      <c r="C20" s="5">
        <f t="shared" si="3"/>
        <v>5.5338374291115349</v>
      </c>
      <c r="D20" s="5">
        <f t="shared" si="3"/>
        <v>0</v>
      </c>
      <c r="E20" s="5">
        <f t="shared" si="3"/>
        <v>0</v>
      </c>
      <c r="F20" s="5">
        <f t="shared" si="3"/>
        <v>0</v>
      </c>
      <c r="G20" s="5">
        <f t="shared" si="3"/>
        <v>0</v>
      </c>
      <c r="H20" s="5">
        <f t="shared" si="3"/>
        <v>0</v>
      </c>
      <c r="I20" s="5">
        <f t="shared" si="3"/>
        <v>0</v>
      </c>
      <c r="J20" s="5">
        <f t="shared" si="3"/>
        <v>0</v>
      </c>
      <c r="K20" s="5">
        <f t="shared" si="3"/>
        <v>0</v>
      </c>
      <c r="L20" s="5">
        <f t="shared" si="3"/>
        <v>0</v>
      </c>
      <c r="N20" s="5">
        <f t="shared" si="6"/>
        <v>0.25</v>
      </c>
      <c r="O20" s="5">
        <f t="shared" si="7"/>
        <v>6.25E-2</v>
      </c>
      <c r="P20" s="5">
        <f t="shared" si="8"/>
        <v>1.5625E-2</v>
      </c>
      <c r="Q20" s="5">
        <f t="shared" si="9"/>
        <v>3.90625E-3</v>
      </c>
      <c r="U20" s="19">
        <f t="shared" si="1"/>
        <v>3.5</v>
      </c>
      <c r="V20" s="19">
        <f t="shared" si="0"/>
        <v>237</v>
      </c>
      <c r="W20" s="19">
        <v>196</v>
      </c>
      <c r="X20" s="19">
        <v>248</v>
      </c>
      <c r="Y20" s="19">
        <v>302</v>
      </c>
      <c r="Z20" s="19">
        <v>346</v>
      </c>
      <c r="AA20" s="19">
        <v>393</v>
      </c>
      <c r="AB20" s="19">
        <v>449</v>
      </c>
      <c r="AC20" s="19"/>
      <c r="AD20" s="19"/>
      <c r="AE20" s="19"/>
      <c r="AF20" s="19"/>
      <c r="AG20" s="19"/>
    </row>
    <row r="21" spans="1:33" x14ac:dyDescent="0.2">
      <c r="A21" s="13">
        <f t="shared" si="4"/>
        <v>0.375</v>
      </c>
      <c r="B21" s="5">
        <f t="shared" si="5"/>
        <v>19.300945179584126</v>
      </c>
      <c r="C21" s="5">
        <f t="shared" si="3"/>
        <v>12.147448015122876</v>
      </c>
      <c r="D21" s="5">
        <f t="shared" si="3"/>
        <v>2.2945179584120976</v>
      </c>
      <c r="E21" s="5">
        <f t="shared" si="3"/>
        <v>0</v>
      </c>
      <c r="F21" s="5">
        <f t="shared" si="3"/>
        <v>0</v>
      </c>
      <c r="G21" s="5">
        <f t="shared" si="3"/>
        <v>0</v>
      </c>
      <c r="H21" s="5">
        <f t="shared" si="3"/>
        <v>0</v>
      </c>
      <c r="I21" s="5">
        <f t="shared" si="3"/>
        <v>0</v>
      </c>
      <c r="J21" s="5">
        <f t="shared" si="3"/>
        <v>0</v>
      </c>
      <c r="K21" s="5">
        <f t="shared" si="3"/>
        <v>0</v>
      </c>
      <c r="L21" s="5">
        <f t="shared" si="3"/>
        <v>0</v>
      </c>
      <c r="N21" s="5">
        <f t="shared" si="6"/>
        <v>0.375</v>
      </c>
      <c r="O21" s="5">
        <f t="shared" si="7"/>
        <v>0.140625</v>
      </c>
      <c r="P21" s="5">
        <f t="shared" si="8"/>
        <v>5.2734375E-2</v>
      </c>
      <c r="Q21" s="5">
        <f t="shared" si="9"/>
        <v>1.9775390625E-2</v>
      </c>
      <c r="U21" s="19">
        <f t="shared" si="1"/>
        <v>4</v>
      </c>
      <c r="V21" s="19">
        <f t="shared" si="0"/>
        <v>261</v>
      </c>
      <c r="W21" s="19">
        <v>176</v>
      </c>
      <c r="X21" s="19">
        <v>225</v>
      </c>
      <c r="Y21" s="19">
        <v>276</v>
      </c>
      <c r="Z21" s="19">
        <v>317</v>
      </c>
      <c r="AA21" s="19">
        <v>364</v>
      </c>
      <c r="AB21" s="19">
        <v>413</v>
      </c>
      <c r="AC21" s="19"/>
      <c r="AD21" s="19"/>
      <c r="AE21" s="19"/>
      <c r="AF21" s="19"/>
      <c r="AG21" s="19"/>
    </row>
    <row r="22" spans="1:33" x14ac:dyDescent="0.2">
      <c r="A22" s="13">
        <f t="shared" si="4"/>
        <v>0.5</v>
      </c>
      <c r="B22" s="5">
        <f t="shared" si="5"/>
        <v>23.889981096408327</v>
      </c>
      <c r="C22" s="5">
        <f t="shared" si="3"/>
        <v>16.331568998109645</v>
      </c>
      <c r="D22" s="5">
        <f t="shared" si="3"/>
        <v>7.828355387523632</v>
      </c>
      <c r="E22" s="5">
        <f t="shared" si="3"/>
        <v>1.4846880907372428</v>
      </c>
      <c r="F22" s="5">
        <f t="shared" si="3"/>
        <v>0</v>
      </c>
      <c r="G22" s="5">
        <f t="shared" si="3"/>
        <v>0</v>
      </c>
      <c r="H22" s="5">
        <f t="shared" si="3"/>
        <v>0</v>
      </c>
      <c r="I22" s="5">
        <f t="shared" si="3"/>
        <v>0</v>
      </c>
      <c r="J22" s="5">
        <f t="shared" si="3"/>
        <v>0</v>
      </c>
      <c r="K22" s="5">
        <f t="shared" si="3"/>
        <v>0</v>
      </c>
      <c r="L22" s="5">
        <f t="shared" si="3"/>
        <v>0</v>
      </c>
      <c r="N22" s="5">
        <f t="shared" si="6"/>
        <v>0.5</v>
      </c>
      <c r="O22" s="5">
        <f t="shared" si="7"/>
        <v>0.25</v>
      </c>
      <c r="P22" s="5">
        <f t="shared" si="8"/>
        <v>0.125</v>
      </c>
      <c r="Q22" s="5">
        <f t="shared" si="9"/>
        <v>6.25E-2</v>
      </c>
      <c r="U22" s="19">
        <f t="shared" si="1"/>
        <v>4.5</v>
      </c>
      <c r="V22" s="19">
        <f t="shared" si="0"/>
        <v>286</v>
      </c>
      <c r="W22" s="19">
        <v>155</v>
      </c>
      <c r="X22" s="19">
        <v>202</v>
      </c>
      <c r="Y22" s="19">
        <v>253</v>
      </c>
      <c r="Z22" s="19">
        <v>295</v>
      </c>
      <c r="AA22" s="19">
        <v>341</v>
      </c>
      <c r="AB22" s="19">
        <v>386</v>
      </c>
      <c r="AC22" s="19">
        <v>431</v>
      </c>
      <c r="AD22" s="19"/>
      <c r="AE22" s="19"/>
      <c r="AF22" s="19"/>
      <c r="AG22" s="19"/>
    </row>
    <row r="23" spans="1:33" x14ac:dyDescent="0.2">
      <c r="A23" s="13">
        <f t="shared" si="4"/>
        <v>0.625</v>
      </c>
      <c r="B23" s="5">
        <f t="shared" si="5"/>
        <v>27.669187145557668</v>
      </c>
      <c r="C23" s="5">
        <f t="shared" si="3"/>
        <v>20.650661625708892</v>
      </c>
      <c r="D23" s="5">
        <f t="shared" si="3"/>
        <v>12.282419659735355</v>
      </c>
      <c r="E23" s="5">
        <f t="shared" si="3"/>
        <v>5.9387523629489651</v>
      </c>
      <c r="F23" s="5">
        <f t="shared" si="3"/>
        <v>0</v>
      </c>
      <c r="G23" s="5">
        <f t="shared" si="3"/>
        <v>0</v>
      </c>
      <c r="H23" s="5">
        <f t="shared" si="3"/>
        <v>0</v>
      </c>
      <c r="I23" s="5">
        <f t="shared" si="3"/>
        <v>0</v>
      </c>
      <c r="J23" s="5">
        <f t="shared" si="3"/>
        <v>0</v>
      </c>
      <c r="K23" s="5">
        <f t="shared" si="3"/>
        <v>0</v>
      </c>
      <c r="L23" s="5">
        <f t="shared" si="3"/>
        <v>0</v>
      </c>
      <c r="N23" s="5">
        <f t="shared" si="6"/>
        <v>0.625</v>
      </c>
      <c r="O23" s="5">
        <f t="shared" si="7"/>
        <v>0.390625</v>
      </c>
      <c r="P23" s="5">
        <f t="shared" si="8"/>
        <v>0.244140625</v>
      </c>
      <c r="Q23" s="5">
        <f t="shared" si="9"/>
        <v>0.152587890625</v>
      </c>
      <c r="U23" s="19">
        <f t="shared" si="1"/>
        <v>5</v>
      </c>
      <c r="V23" s="19">
        <f t="shared" si="0"/>
        <v>310</v>
      </c>
      <c r="W23" s="19">
        <v>136</v>
      </c>
      <c r="X23" s="19">
        <v>182</v>
      </c>
      <c r="Y23" s="19">
        <v>230</v>
      </c>
      <c r="Z23" s="19">
        <v>275</v>
      </c>
      <c r="AA23" s="19">
        <v>319</v>
      </c>
      <c r="AB23" s="19">
        <v>363</v>
      </c>
      <c r="AC23" s="19">
        <v>405</v>
      </c>
      <c r="AD23" s="19"/>
      <c r="AE23" s="19"/>
      <c r="AF23" s="19"/>
      <c r="AG23" s="19"/>
    </row>
    <row r="24" spans="1:33" x14ac:dyDescent="0.2">
      <c r="A24" s="13">
        <f t="shared" si="4"/>
        <v>0.75</v>
      </c>
      <c r="B24" s="5">
        <f t="shared" si="5"/>
        <v>30.9085066162571</v>
      </c>
      <c r="C24" s="5">
        <f t="shared" si="3"/>
        <v>23.889981096408327</v>
      </c>
      <c r="D24" s="5">
        <f t="shared" si="3"/>
        <v>16.466540642722126</v>
      </c>
      <c r="E24" s="5">
        <f t="shared" si="3"/>
        <v>10.392816635160681</v>
      </c>
      <c r="F24" s="5">
        <f t="shared" si="3"/>
        <v>3.5092627599243889</v>
      </c>
      <c r="G24" s="5">
        <f t="shared" si="3"/>
        <v>0</v>
      </c>
      <c r="H24" s="5">
        <f t="shared" si="3"/>
        <v>0</v>
      </c>
      <c r="I24" s="5">
        <f t="shared" si="3"/>
        <v>0</v>
      </c>
      <c r="J24" s="5">
        <f t="shared" si="3"/>
        <v>0</v>
      </c>
      <c r="K24" s="5">
        <f t="shared" si="3"/>
        <v>0</v>
      </c>
      <c r="L24" s="5">
        <f t="shared" si="3"/>
        <v>0</v>
      </c>
      <c r="N24" s="5">
        <f t="shared" si="6"/>
        <v>0.75</v>
      </c>
      <c r="O24" s="5">
        <f t="shared" si="7"/>
        <v>0.5625</v>
      </c>
      <c r="P24" s="5">
        <f t="shared" si="8"/>
        <v>0.421875</v>
      </c>
      <c r="Q24" s="5">
        <f t="shared" si="9"/>
        <v>0.31640625</v>
      </c>
      <c r="U24" s="19">
        <f t="shared" si="1"/>
        <v>5.5</v>
      </c>
      <c r="V24" s="19">
        <f t="shared" si="0"/>
        <v>334</v>
      </c>
      <c r="W24" s="19">
        <v>120</v>
      </c>
      <c r="X24" s="19">
        <v>162</v>
      </c>
      <c r="Y24" s="19">
        <v>212</v>
      </c>
      <c r="Z24" s="19">
        <v>258</v>
      </c>
      <c r="AA24" s="19">
        <v>299</v>
      </c>
      <c r="AB24" s="19">
        <v>344</v>
      </c>
      <c r="AC24" s="19">
        <v>387</v>
      </c>
      <c r="AD24" s="19">
        <v>439</v>
      </c>
      <c r="AE24" s="19"/>
      <c r="AF24" s="19"/>
      <c r="AG24" s="19"/>
    </row>
    <row r="25" spans="1:33" x14ac:dyDescent="0.2">
      <c r="A25" s="13">
        <f t="shared" si="4"/>
        <v>0.875</v>
      </c>
      <c r="B25" s="5">
        <f t="shared" si="5"/>
        <v>34.417769376181489</v>
      </c>
      <c r="C25" s="5">
        <f t="shared" si="3"/>
        <v>27.39924385633271</v>
      </c>
      <c r="D25" s="5">
        <f t="shared" si="3"/>
        <v>20.110775047258986</v>
      </c>
      <c r="E25" s="5">
        <f t="shared" si="3"/>
        <v>14.172022684310022</v>
      </c>
      <c r="F25" s="5">
        <f t="shared" si="3"/>
        <v>7.828355387523632</v>
      </c>
      <c r="G25" s="5">
        <f t="shared" si="3"/>
        <v>0.26994328922495164</v>
      </c>
      <c r="H25" s="5">
        <f t="shared" si="3"/>
        <v>0</v>
      </c>
      <c r="I25" s="5">
        <f t="shared" si="3"/>
        <v>0</v>
      </c>
      <c r="J25" s="5">
        <f t="shared" si="3"/>
        <v>0</v>
      </c>
      <c r="K25" s="5">
        <f t="shared" si="3"/>
        <v>0</v>
      </c>
      <c r="L25" s="5">
        <f t="shared" si="3"/>
        <v>0</v>
      </c>
      <c r="N25" s="5">
        <f t="shared" si="6"/>
        <v>0.875</v>
      </c>
      <c r="O25" s="5">
        <f t="shared" si="7"/>
        <v>0.765625</v>
      </c>
      <c r="P25" s="5">
        <f t="shared" si="8"/>
        <v>0.669921875</v>
      </c>
      <c r="Q25" s="5">
        <f t="shared" si="9"/>
        <v>0.586181640625</v>
      </c>
      <c r="U25" s="19">
        <f t="shared" si="1"/>
        <v>6</v>
      </c>
      <c r="V25" s="19">
        <f t="shared" si="0"/>
        <v>359</v>
      </c>
      <c r="W25" s="19">
        <v>103</v>
      </c>
      <c r="X25" s="19">
        <v>147</v>
      </c>
      <c r="Y25" s="19">
        <v>197</v>
      </c>
      <c r="Z25" s="19">
        <v>239</v>
      </c>
      <c r="AA25" s="19">
        <v>282</v>
      </c>
      <c r="AB25" s="19">
        <v>327</v>
      </c>
      <c r="AC25" s="19">
        <v>367</v>
      </c>
      <c r="AD25" s="19">
        <v>415</v>
      </c>
      <c r="AE25" s="19"/>
      <c r="AF25" s="19"/>
      <c r="AG25" s="19"/>
    </row>
    <row r="26" spans="1:33" x14ac:dyDescent="0.2">
      <c r="A26" s="13">
        <f t="shared" si="4"/>
        <v>1</v>
      </c>
      <c r="B26" s="5">
        <f t="shared" si="5"/>
        <v>37.117202268431015</v>
      </c>
      <c r="C26" s="5">
        <f t="shared" si="3"/>
        <v>30.503591682419668</v>
      </c>
      <c r="D26" s="5">
        <f t="shared" si="3"/>
        <v>23.620037807183376</v>
      </c>
      <c r="E26" s="5">
        <f t="shared" si="3"/>
        <v>18.08620037807184</v>
      </c>
      <c r="F26" s="5">
        <f t="shared" si="3"/>
        <v>11.742533081285451</v>
      </c>
      <c r="G26" s="5">
        <f t="shared" si="3"/>
        <v>5.1289224952741046</v>
      </c>
      <c r="H26" s="5">
        <f t="shared" si="3"/>
        <v>0</v>
      </c>
      <c r="I26" s="5">
        <f t="shared" si="3"/>
        <v>0</v>
      </c>
      <c r="J26" s="5">
        <f t="shared" si="3"/>
        <v>0</v>
      </c>
      <c r="K26" s="5">
        <f t="shared" si="3"/>
        <v>0</v>
      </c>
      <c r="L26" s="5">
        <f t="shared" si="3"/>
        <v>0</v>
      </c>
      <c r="N26" s="5">
        <f t="shared" si="6"/>
        <v>1</v>
      </c>
      <c r="O26" s="5">
        <f t="shared" si="7"/>
        <v>1</v>
      </c>
      <c r="P26" s="5">
        <f t="shared" si="8"/>
        <v>1</v>
      </c>
      <c r="Q26" s="5">
        <f t="shared" si="9"/>
        <v>1</v>
      </c>
      <c r="U26" s="19">
        <f t="shared" si="1"/>
        <v>6.5</v>
      </c>
      <c r="V26" s="19">
        <f t="shared" si="0"/>
        <v>383</v>
      </c>
      <c r="W26" s="19">
        <v>91</v>
      </c>
      <c r="X26" s="19">
        <v>133</v>
      </c>
      <c r="Y26" s="19">
        <v>183</v>
      </c>
      <c r="Z26" s="19">
        <v>223</v>
      </c>
      <c r="AA26" s="19">
        <v>268</v>
      </c>
      <c r="AB26" s="19">
        <v>313</v>
      </c>
      <c r="AC26" s="19">
        <v>352</v>
      </c>
      <c r="AD26" s="19">
        <v>397</v>
      </c>
      <c r="AE26" s="19">
        <v>446</v>
      </c>
      <c r="AF26" s="19"/>
      <c r="AG26" s="19"/>
    </row>
    <row r="27" spans="1:33" x14ac:dyDescent="0.2">
      <c r="A27" s="13">
        <f t="shared" si="4"/>
        <v>1.125</v>
      </c>
      <c r="B27" s="5">
        <f t="shared" si="5"/>
        <v>39.951606805293025</v>
      </c>
      <c r="C27" s="5">
        <f t="shared" si="3"/>
        <v>33.607939508506625</v>
      </c>
      <c r="D27" s="5">
        <f t="shared" si="3"/>
        <v>26.724385633270334</v>
      </c>
      <c r="E27" s="5">
        <f t="shared" si="3"/>
        <v>21.055576559546321</v>
      </c>
      <c r="F27" s="5">
        <f t="shared" si="3"/>
        <v>14.846880907372404</v>
      </c>
      <c r="G27" s="5">
        <f t="shared" si="3"/>
        <v>8.7731568998109655</v>
      </c>
      <c r="H27" s="5">
        <f t="shared" si="3"/>
        <v>2.6994328922495279</v>
      </c>
      <c r="I27" s="5">
        <f t="shared" si="3"/>
        <v>0</v>
      </c>
      <c r="J27" s="5">
        <f t="shared" si="3"/>
        <v>0</v>
      </c>
      <c r="K27" s="5">
        <f t="shared" si="3"/>
        <v>0</v>
      </c>
      <c r="L27" s="5">
        <f t="shared" si="3"/>
        <v>0</v>
      </c>
      <c r="N27" s="5">
        <f t="shared" si="6"/>
        <v>1.125</v>
      </c>
      <c r="O27" s="5">
        <f t="shared" si="7"/>
        <v>1.265625</v>
      </c>
      <c r="P27" s="5">
        <f t="shared" si="8"/>
        <v>1.423828125</v>
      </c>
      <c r="Q27" s="5">
        <f t="shared" si="9"/>
        <v>1.601806640625</v>
      </c>
      <c r="U27" s="19">
        <f t="shared" si="1"/>
        <v>7</v>
      </c>
      <c r="V27" s="19">
        <f t="shared" si="0"/>
        <v>408</v>
      </c>
      <c r="W27" s="19">
        <v>81</v>
      </c>
      <c r="X27" s="19">
        <v>125</v>
      </c>
      <c r="Y27" s="19">
        <v>170</v>
      </c>
      <c r="Z27" s="19">
        <v>211</v>
      </c>
      <c r="AA27" s="19">
        <v>253</v>
      </c>
      <c r="AB27" s="19">
        <v>300</v>
      </c>
      <c r="AC27" s="19">
        <v>341</v>
      </c>
      <c r="AD27" s="19">
        <v>381</v>
      </c>
      <c r="AE27" s="19">
        <v>424</v>
      </c>
      <c r="AF27" s="19"/>
      <c r="AG27" s="19"/>
    </row>
    <row r="28" spans="1:33" x14ac:dyDescent="0.2">
      <c r="A28" s="13">
        <f t="shared" si="4"/>
        <v>1.25</v>
      </c>
      <c r="B28" s="5">
        <f t="shared" si="5"/>
        <v>42.516068052930073</v>
      </c>
      <c r="C28" s="5">
        <f t="shared" si="3"/>
        <v>36.307372400756158</v>
      </c>
      <c r="D28" s="5">
        <f t="shared" si="3"/>
        <v>29.828733459357291</v>
      </c>
      <c r="E28" s="5">
        <f t="shared" si="3"/>
        <v>23.75500945179585</v>
      </c>
      <c r="F28" s="5">
        <f t="shared" si="3"/>
        <v>17.816257088846889</v>
      </c>
      <c r="G28" s="5">
        <f t="shared" si="3"/>
        <v>11.877504725897925</v>
      </c>
      <c r="H28" s="5">
        <f t="shared" si="3"/>
        <v>6.2086956521739172</v>
      </c>
      <c r="I28" s="5">
        <f t="shared" si="3"/>
        <v>0</v>
      </c>
      <c r="J28" s="5">
        <f t="shared" si="3"/>
        <v>0</v>
      </c>
      <c r="K28" s="5">
        <f t="shared" si="3"/>
        <v>0</v>
      </c>
      <c r="L28" s="5">
        <f t="shared" si="3"/>
        <v>0</v>
      </c>
      <c r="N28" s="5">
        <f t="shared" si="6"/>
        <v>1.25</v>
      </c>
      <c r="O28" s="5">
        <f t="shared" si="7"/>
        <v>1.5625</v>
      </c>
      <c r="P28" s="5">
        <f t="shared" si="8"/>
        <v>1.953125</v>
      </c>
      <c r="Q28" s="5">
        <f t="shared" si="9"/>
        <v>2.44140625</v>
      </c>
      <c r="U28" s="19">
        <f t="shared" si="1"/>
        <v>7.5</v>
      </c>
      <c r="V28" s="19">
        <f t="shared" si="0"/>
        <v>432</v>
      </c>
      <c r="W28" s="19">
        <v>73</v>
      </c>
      <c r="X28" s="19">
        <v>117</v>
      </c>
      <c r="Y28" s="19">
        <v>161</v>
      </c>
      <c r="Z28" s="19">
        <v>200</v>
      </c>
      <c r="AA28" s="19">
        <v>243</v>
      </c>
      <c r="AB28" s="19">
        <v>288</v>
      </c>
      <c r="AC28" s="19">
        <v>329</v>
      </c>
      <c r="AD28" s="19">
        <v>367</v>
      </c>
      <c r="AE28" s="19">
        <v>410</v>
      </c>
      <c r="AF28" s="19"/>
      <c r="AG28" s="19"/>
    </row>
    <row r="29" spans="1:33" x14ac:dyDescent="0.2">
      <c r="A29" s="13">
        <f t="shared" si="4"/>
        <v>1.375</v>
      </c>
      <c r="B29" s="5">
        <f t="shared" si="5"/>
        <v>44.675614366729697</v>
      </c>
      <c r="C29" s="5">
        <f t="shared" si="3"/>
        <v>39.006805293005684</v>
      </c>
      <c r="D29" s="5">
        <f t="shared" si="3"/>
        <v>32.258223062381866</v>
      </c>
      <c r="E29" s="5">
        <f t="shared" si="3"/>
        <v>26.049527410207947</v>
      </c>
      <c r="F29" s="5">
        <f t="shared" si="3"/>
        <v>20.515689981096418</v>
      </c>
      <c r="G29" s="5">
        <f t="shared" si="3"/>
        <v>14.44196597353498</v>
      </c>
      <c r="H29" s="5">
        <f t="shared" si="3"/>
        <v>8.6381852551984935</v>
      </c>
      <c r="I29" s="5">
        <f t="shared" si="3"/>
        <v>1.6196597353497157</v>
      </c>
      <c r="J29" s="5">
        <f t="shared" si="3"/>
        <v>0</v>
      </c>
      <c r="K29" s="5">
        <f t="shared" si="3"/>
        <v>0</v>
      </c>
      <c r="L29" s="5">
        <f t="shared" si="3"/>
        <v>0</v>
      </c>
      <c r="N29" s="5">
        <f t="shared" si="6"/>
        <v>1.375</v>
      </c>
      <c r="O29" s="5">
        <f t="shared" si="7"/>
        <v>1.890625</v>
      </c>
      <c r="P29" s="5">
        <f t="shared" si="8"/>
        <v>2.599609375</v>
      </c>
      <c r="Q29" s="5">
        <f t="shared" si="9"/>
        <v>3.574462890625</v>
      </c>
      <c r="U29" s="19">
        <f t="shared" si="1"/>
        <v>8</v>
      </c>
      <c r="V29" s="19">
        <f t="shared" si="0"/>
        <v>456</v>
      </c>
      <c r="W29" s="19">
        <v>68</v>
      </c>
      <c r="X29" s="19">
        <v>109</v>
      </c>
      <c r="Y29" s="19">
        <v>154</v>
      </c>
      <c r="Z29" s="19">
        <v>194</v>
      </c>
      <c r="AA29" s="19">
        <v>235</v>
      </c>
      <c r="AB29" s="19">
        <v>280</v>
      </c>
      <c r="AC29" s="19">
        <v>321</v>
      </c>
      <c r="AD29" s="19">
        <v>358</v>
      </c>
      <c r="AE29" s="19">
        <v>400</v>
      </c>
      <c r="AF29" s="19">
        <v>442</v>
      </c>
      <c r="AG29" s="19"/>
    </row>
    <row r="30" spans="1:33" x14ac:dyDescent="0.2">
      <c r="A30" s="13">
        <f t="shared" si="4"/>
        <v>1.5</v>
      </c>
      <c r="B30" s="5">
        <f t="shared" si="5"/>
        <v>46.970132325141797</v>
      </c>
      <c r="C30" s="5">
        <f t="shared" si="3"/>
        <v>41.031379962192837</v>
      </c>
      <c r="D30" s="5">
        <f t="shared" si="3"/>
        <v>34.282797731569012</v>
      </c>
      <c r="E30" s="5">
        <f t="shared" si="3"/>
        <v>28.613988657845002</v>
      </c>
      <c r="F30" s="5">
        <f t="shared" si="3"/>
        <v>22.810207939508516</v>
      </c>
      <c r="G30" s="5">
        <f t="shared" si="3"/>
        <v>16.736483931947078</v>
      </c>
      <c r="H30" s="5">
        <f t="shared" si="3"/>
        <v>11.337618147448021</v>
      </c>
      <c r="I30" s="5">
        <f t="shared" si="3"/>
        <v>4.8589792060491526</v>
      </c>
      <c r="J30" s="5">
        <f t="shared" si="3"/>
        <v>0</v>
      </c>
      <c r="K30" s="5">
        <f t="shared" si="3"/>
        <v>0</v>
      </c>
      <c r="L30" s="5">
        <f t="shared" si="3"/>
        <v>0</v>
      </c>
      <c r="N30" s="5">
        <f t="shared" si="6"/>
        <v>1.5</v>
      </c>
      <c r="O30" s="5">
        <f t="shared" si="7"/>
        <v>2.25</v>
      </c>
      <c r="P30" s="5">
        <f t="shared" si="8"/>
        <v>3.375</v>
      </c>
      <c r="Q30" s="5">
        <f t="shared" si="9"/>
        <v>5.0625</v>
      </c>
      <c r="U30" s="19">
        <f t="shared" si="1"/>
        <v>8.5</v>
      </c>
      <c r="V30" s="19">
        <f t="shared" si="0"/>
        <v>481</v>
      </c>
      <c r="W30" s="19">
        <v>66</v>
      </c>
      <c r="X30" s="19">
        <v>103</v>
      </c>
      <c r="Y30" s="19">
        <v>149</v>
      </c>
      <c r="Z30" s="19">
        <v>188</v>
      </c>
      <c r="AA30" s="19">
        <v>227</v>
      </c>
      <c r="AB30" s="19">
        <v>271</v>
      </c>
      <c r="AC30" s="19">
        <v>312</v>
      </c>
      <c r="AD30" s="19">
        <v>349</v>
      </c>
      <c r="AE30" s="19">
        <v>390</v>
      </c>
      <c r="AF30" s="19">
        <v>431</v>
      </c>
      <c r="AG30" s="19"/>
    </row>
    <row r="31" spans="1:33" x14ac:dyDescent="0.2">
      <c r="A31" s="13">
        <f t="shared" si="4"/>
        <v>1.625</v>
      </c>
      <c r="B31" s="5">
        <f t="shared" si="5"/>
        <v>48.589792060491511</v>
      </c>
      <c r="C31" s="5">
        <f t="shared" si="3"/>
        <v>42.920982986767505</v>
      </c>
      <c r="D31" s="5">
        <f t="shared" si="3"/>
        <v>36.172400756143681</v>
      </c>
      <c r="E31" s="5">
        <f t="shared" si="3"/>
        <v>30.773534971644626</v>
      </c>
      <c r="F31" s="5">
        <f t="shared" si="3"/>
        <v>24.699810964083184</v>
      </c>
      <c r="G31" s="5">
        <f t="shared" si="3"/>
        <v>18.626086956521746</v>
      </c>
      <c r="H31" s="5">
        <f t="shared" si="3"/>
        <v>13.362192816635167</v>
      </c>
      <c r="I31" s="5">
        <f t="shared" si="3"/>
        <v>7.2884688090737288</v>
      </c>
      <c r="J31" s="5">
        <f t="shared" si="3"/>
        <v>0.67485822306238197</v>
      </c>
      <c r="K31" s="5">
        <f t="shared" si="3"/>
        <v>0</v>
      </c>
      <c r="L31" s="5">
        <f t="shared" si="3"/>
        <v>0</v>
      </c>
      <c r="N31" s="5">
        <f t="shared" si="6"/>
        <v>1.625</v>
      </c>
      <c r="O31" s="5">
        <f t="shared" si="7"/>
        <v>2.640625</v>
      </c>
      <c r="P31" s="5">
        <f t="shared" si="8"/>
        <v>4.291015625</v>
      </c>
      <c r="Q31" s="5">
        <f t="shared" si="9"/>
        <v>6.972900390625</v>
      </c>
      <c r="U31" s="19">
        <f t="shared" si="1"/>
        <v>9</v>
      </c>
      <c r="V31" s="19">
        <f t="shared" si="0"/>
        <v>505</v>
      </c>
      <c r="W31" s="19">
        <v>64</v>
      </c>
      <c r="X31" s="19">
        <v>100</v>
      </c>
      <c r="Y31" s="19">
        <v>145</v>
      </c>
      <c r="Z31" s="19">
        <v>182</v>
      </c>
      <c r="AA31" s="19">
        <v>220</v>
      </c>
      <c r="AB31" s="19">
        <v>262</v>
      </c>
      <c r="AC31" s="19">
        <v>305</v>
      </c>
      <c r="AD31" s="19">
        <v>342</v>
      </c>
      <c r="AE31" s="19">
        <v>382</v>
      </c>
      <c r="AF31" s="19">
        <v>422</v>
      </c>
      <c r="AG31" s="19"/>
    </row>
    <row r="32" spans="1:33" x14ac:dyDescent="0.2">
      <c r="A32" s="20">
        <f t="shared" si="4"/>
        <v>1.75</v>
      </c>
      <c r="B32" s="5">
        <f t="shared" si="5"/>
        <v>49.939508506616271</v>
      </c>
      <c r="C32" s="5">
        <f t="shared" si="3"/>
        <v>44.000756143667317</v>
      </c>
      <c r="D32" s="5">
        <f t="shared" si="3"/>
        <v>37.927032136105879</v>
      </c>
      <c r="E32" s="5">
        <f t="shared" si="3"/>
        <v>32.393194706994343</v>
      </c>
      <c r="F32" s="5">
        <f t="shared" si="3"/>
        <v>26.724385633270334</v>
      </c>
      <c r="G32" s="5">
        <f t="shared" si="3"/>
        <v>20.380718336483937</v>
      </c>
      <c r="H32" s="5">
        <f t="shared" si="3"/>
        <v>14.846880907372404</v>
      </c>
      <c r="I32" s="5">
        <f t="shared" si="3"/>
        <v>9.4480151228733487</v>
      </c>
      <c r="J32" s="5">
        <f t="shared" si="3"/>
        <v>3.6442344045368618</v>
      </c>
      <c r="K32" s="5">
        <f t="shared" si="3"/>
        <v>0</v>
      </c>
      <c r="L32" s="5">
        <f t="shared" si="3"/>
        <v>0</v>
      </c>
      <c r="N32" s="5">
        <f t="shared" si="6"/>
        <v>1.75</v>
      </c>
      <c r="O32" s="5">
        <f t="shared" si="7"/>
        <v>3.0625</v>
      </c>
      <c r="P32" s="5">
        <f t="shared" si="8"/>
        <v>5.359375</v>
      </c>
      <c r="Q32" s="5">
        <f t="shared" si="9"/>
        <v>9.37890625</v>
      </c>
      <c r="U32" s="19">
        <f t="shared" si="1"/>
        <v>9.5</v>
      </c>
      <c r="V32" s="19">
        <f t="shared" si="0"/>
        <v>530</v>
      </c>
      <c r="W32" s="19">
        <v>63</v>
      </c>
      <c r="X32" s="19">
        <v>99</v>
      </c>
      <c r="Y32" s="19">
        <v>140</v>
      </c>
      <c r="Z32" s="19">
        <v>179</v>
      </c>
      <c r="AA32" s="19">
        <v>218</v>
      </c>
      <c r="AB32" s="19">
        <v>257</v>
      </c>
      <c r="AC32" s="19">
        <v>299</v>
      </c>
      <c r="AD32" s="19">
        <v>335</v>
      </c>
      <c r="AE32" s="19">
        <v>375</v>
      </c>
      <c r="AF32" s="19">
        <v>416</v>
      </c>
      <c r="AG32" s="19"/>
    </row>
    <row r="33" spans="1:33" x14ac:dyDescent="0.2">
      <c r="A33" s="13">
        <f t="shared" si="4"/>
        <v>1.875</v>
      </c>
      <c r="B33" s="5">
        <f t="shared" si="5"/>
        <v>51.01928166351609</v>
      </c>
      <c r="C33" s="5">
        <f t="shared" si="3"/>
        <v>45.080529300567129</v>
      </c>
      <c r="D33" s="5">
        <f t="shared" si="3"/>
        <v>39.141776937618161</v>
      </c>
      <c r="E33" s="5">
        <f t="shared" si="3"/>
        <v>33.877882797731587</v>
      </c>
      <c r="F33" s="5">
        <f t="shared" si="3"/>
        <v>28.074102079395097</v>
      </c>
      <c r="G33" s="5">
        <f t="shared" si="3"/>
        <v>22.000378071833655</v>
      </c>
      <c r="H33" s="5">
        <f t="shared" si="3"/>
        <v>16.466540642722126</v>
      </c>
      <c r="I33" s="5">
        <f t="shared" si="3"/>
        <v>11.337618147448021</v>
      </c>
      <c r="J33" s="5">
        <f t="shared" si="3"/>
        <v>5.5338374291115349</v>
      </c>
      <c r="K33" s="5">
        <f t="shared" si="3"/>
        <v>0</v>
      </c>
      <c r="L33" s="5">
        <f t="shared" si="3"/>
        <v>0</v>
      </c>
      <c r="N33" s="5">
        <f t="shared" si="6"/>
        <v>1.875</v>
      </c>
      <c r="O33" s="5">
        <f t="shared" si="7"/>
        <v>3.515625</v>
      </c>
      <c r="P33" s="5">
        <f t="shared" si="8"/>
        <v>6.591796875</v>
      </c>
      <c r="Q33" s="5">
        <f t="shared" si="9"/>
        <v>12.359619140625</v>
      </c>
      <c r="U33" s="19">
        <f t="shared" si="1"/>
        <v>10</v>
      </c>
      <c r="V33" s="19">
        <f t="shared" si="0"/>
        <v>554</v>
      </c>
      <c r="W33" s="19">
        <v>61</v>
      </c>
      <c r="X33" s="19">
        <v>99</v>
      </c>
      <c r="Y33" s="19">
        <v>137</v>
      </c>
      <c r="Z33" s="19">
        <v>177</v>
      </c>
      <c r="AA33" s="19">
        <v>216</v>
      </c>
      <c r="AB33" s="19">
        <v>255</v>
      </c>
      <c r="AC33" s="19">
        <v>294</v>
      </c>
      <c r="AD33" s="19">
        <v>332</v>
      </c>
      <c r="AE33" s="19">
        <v>372</v>
      </c>
      <c r="AF33" s="19">
        <v>411</v>
      </c>
      <c r="AG33" s="19"/>
    </row>
    <row r="34" spans="1:33" x14ac:dyDescent="0.2">
      <c r="A34" s="13">
        <f t="shared" si="4"/>
        <v>2</v>
      </c>
      <c r="B34" s="5">
        <f t="shared" si="5"/>
        <v>51.694139886578469</v>
      </c>
      <c r="C34" s="5">
        <f t="shared" ref="C34:C38" si="10">IF(ISERROR($B$11*X52),0,$B$11*X52)</f>
        <v>46.160302457466933</v>
      </c>
      <c r="D34" s="5">
        <f t="shared" ref="D34:D38" si="11">IF(ISERROR($B$11*Y52),0,$B$11*Y52)</f>
        <v>40.086578449905495</v>
      </c>
      <c r="E34" s="5">
        <f t="shared" ref="E34:E38" si="12">IF(ISERROR($B$11*Z52),0,$B$11*Z52)</f>
        <v>34.687712665406437</v>
      </c>
      <c r="F34" s="5">
        <f t="shared" ref="F34:F38" si="13">IF(ISERROR($B$11*AA52),0,$B$11*AA52)</f>
        <v>29.153875236294905</v>
      </c>
      <c r="G34" s="5">
        <f t="shared" ref="G34:G38" si="14">IF(ISERROR($B$11*AB52),0,$B$11*AB52)</f>
        <v>23.080151228733467</v>
      </c>
      <c r="H34" s="5">
        <f t="shared" ref="H34:H38" si="15">IF(ISERROR($B$11*AC52),0,$B$11*AC52)</f>
        <v>17.546313799621931</v>
      </c>
      <c r="I34" s="5">
        <f t="shared" ref="I34:I38" si="16">IF(ISERROR($B$11*AD52),0,$B$11*AD52)</f>
        <v>12.552362948960306</v>
      </c>
      <c r="J34" s="5">
        <f t="shared" ref="J34:J38" si="17">IF(ISERROR($B$11*AE52),0,$B$11*AE52)</f>
        <v>6.8835538752362986</v>
      </c>
      <c r="K34" s="5">
        <f t="shared" ref="K34:K38" si="18">IF(ISERROR($B$11*AF52),0,$B$11*AF52)</f>
        <v>1.2147448015122853</v>
      </c>
      <c r="L34" s="5">
        <f t="shared" ref="L34:L38" si="19">IF(ISERROR($B$11*AG52),0,$B$11*AG52)</f>
        <v>0</v>
      </c>
      <c r="N34" s="5">
        <f t="shared" si="6"/>
        <v>2</v>
      </c>
      <c r="O34" s="5">
        <f t="shared" si="7"/>
        <v>4</v>
      </c>
      <c r="P34" s="5">
        <f t="shared" si="8"/>
        <v>8</v>
      </c>
      <c r="Q34" s="5">
        <f t="shared" si="9"/>
        <v>16</v>
      </c>
    </row>
    <row r="35" spans="1:33" x14ac:dyDescent="0.2">
      <c r="A35" s="13">
        <f t="shared" si="4"/>
        <v>2.125</v>
      </c>
      <c r="B35" s="5">
        <f t="shared" si="5"/>
        <v>51.964083175803417</v>
      </c>
      <c r="C35" s="5">
        <f t="shared" si="10"/>
        <v>46.970132325141797</v>
      </c>
      <c r="D35" s="5">
        <f t="shared" si="11"/>
        <v>40.761436672967875</v>
      </c>
      <c r="E35" s="5">
        <f t="shared" si="12"/>
        <v>35.497542533081294</v>
      </c>
      <c r="F35" s="5">
        <f t="shared" si="13"/>
        <v>30.233648393194716</v>
      </c>
      <c r="G35" s="5">
        <f t="shared" si="14"/>
        <v>24.294896030245759</v>
      </c>
      <c r="H35" s="5">
        <f t="shared" si="15"/>
        <v>18.761058601134224</v>
      </c>
      <c r="I35" s="5">
        <f t="shared" si="16"/>
        <v>13.767107750472597</v>
      </c>
      <c r="J35" s="5">
        <f t="shared" si="17"/>
        <v>8.2332703213610632</v>
      </c>
      <c r="K35" s="5">
        <f t="shared" si="18"/>
        <v>2.6994328922495279</v>
      </c>
      <c r="L35" s="5">
        <f t="shared" si="19"/>
        <v>0</v>
      </c>
      <c r="N35" s="5">
        <f t="shared" si="6"/>
        <v>2.125</v>
      </c>
      <c r="O35" s="5">
        <f t="shared" si="7"/>
        <v>4.515625</v>
      </c>
      <c r="P35" s="5">
        <f t="shared" si="8"/>
        <v>9.595703125</v>
      </c>
      <c r="Q35" s="5">
        <f t="shared" si="9"/>
        <v>20.390869140625</v>
      </c>
      <c r="U35" s="19" t="s">
        <v>85</v>
      </c>
      <c r="V35" s="19" t="s">
        <v>86</v>
      </c>
      <c r="W35" s="19" t="s">
        <v>87</v>
      </c>
      <c r="X35" s="19" t="s">
        <v>81</v>
      </c>
      <c r="Y35" s="19" t="s">
        <v>84</v>
      </c>
      <c r="Z35" s="19" t="s">
        <v>88</v>
      </c>
      <c r="AA35" s="19" t="s">
        <v>89</v>
      </c>
      <c r="AB35" s="19" t="s">
        <v>90</v>
      </c>
      <c r="AC35" s="19" t="s">
        <v>91</v>
      </c>
      <c r="AD35" s="19" t="s">
        <v>92</v>
      </c>
      <c r="AE35" s="19" t="s">
        <v>93</v>
      </c>
      <c r="AF35" s="19" t="s">
        <v>94</v>
      </c>
    </row>
    <row r="36" spans="1:33" x14ac:dyDescent="0.2">
      <c r="A36" s="13">
        <f t="shared" si="4"/>
        <v>2.25</v>
      </c>
      <c r="B36" s="5">
        <f t="shared" si="5"/>
        <v>52.234026465028379</v>
      </c>
      <c r="C36" s="5">
        <f t="shared" si="10"/>
        <v>47.375047258979222</v>
      </c>
      <c r="D36" s="5">
        <f t="shared" si="11"/>
        <v>41.301323251417784</v>
      </c>
      <c r="E36" s="5">
        <f t="shared" si="12"/>
        <v>36.307372400756158</v>
      </c>
      <c r="F36" s="5">
        <f t="shared" si="13"/>
        <v>31.178449905482058</v>
      </c>
      <c r="G36" s="5">
        <f t="shared" si="14"/>
        <v>25.509640831758045</v>
      </c>
      <c r="H36" s="5">
        <f t="shared" si="15"/>
        <v>19.705860113421558</v>
      </c>
      <c r="I36" s="5">
        <f t="shared" si="16"/>
        <v>14.711909262759931</v>
      </c>
      <c r="J36" s="5">
        <f t="shared" si="17"/>
        <v>9.3130434782608749</v>
      </c>
      <c r="K36" s="5">
        <f t="shared" si="18"/>
        <v>3.9141776937618191</v>
      </c>
      <c r="L36" s="5">
        <f t="shared" si="19"/>
        <v>0</v>
      </c>
      <c r="N36" s="5">
        <f t="shared" si="6"/>
        <v>2.25</v>
      </c>
      <c r="O36" s="5">
        <f t="shared" si="7"/>
        <v>5.0625</v>
      </c>
      <c r="P36" s="5">
        <f t="shared" si="8"/>
        <v>11.390625</v>
      </c>
      <c r="Q36" s="5">
        <f t="shared" si="9"/>
        <v>25.62890625</v>
      </c>
      <c r="U36" s="19">
        <v>0</v>
      </c>
      <c r="V36" s="19">
        <f t="shared" ref="V36:V56" si="20">U36/10</f>
        <v>0</v>
      </c>
      <c r="W36" s="19">
        <f t="shared" ref="W36:AF51" si="21">IF(1-(W13-$Z$8)/($Z$9-$Z$8)&gt;1,"--",1-(W13-$Z$8)/($Z$9-$Z$8))</f>
        <v>0</v>
      </c>
      <c r="X36" s="19" t="str">
        <f t="shared" si="21"/>
        <v>--</v>
      </c>
      <c r="Y36" s="19" t="str">
        <f t="shared" si="21"/>
        <v>--</v>
      </c>
      <c r="Z36" s="19" t="str">
        <f t="shared" si="21"/>
        <v>--</v>
      </c>
      <c r="AA36" s="19" t="str">
        <f t="shared" si="21"/>
        <v>--</v>
      </c>
      <c r="AB36" s="19" t="str">
        <f t="shared" si="21"/>
        <v>--</v>
      </c>
      <c r="AC36" s="19" t="str">
        <f t="shared" si="21"/>
        <v>--</v>
      </c>
      <c r="AD36" s="19" t="str">
        <f t="shared" si="21"/>
        <v>--</v>
      </c>
      <c r="AE36" s="19" t="str">
        <f t="shared" si="21"/>
        <v>--</v>
      </c>
      <c r="AF36" s="19" t="str">
        <f t="shared" si="21"/>
        <v>--</v>
      </c>
    </row>
    <row r="37" spans="1:33" x14ac:dyDescent="0.2">
      <c r="A37" s="13">
        <f t="shared" si="4"/>
        <v>2.375</v>
      </c>
      <c r="B37" s="5">
        <f t="shared" si="5"/>
        <v>52.368998109640849</v>
      </c>
      <c r="C37" s="5">
        <f t="shared" si="10"/>
        <v>47.5100189035917</v>
      </c>
      <c r="D37" s="5">
        <f t="shared" si="11"/>
        <v>41.976181474480171</v>
      </c>
      <c r="E37" s="5">
        <f t="shared" si="12"/>
        <v>36.712287334593583</v>
      </c>
      <c r="F37" s="5">
        <f t="shared" si="13"/>
        <v>31.448393194707002</v>
      </c>
      <c r="G37" s="5">
        <f t="shared" si="14"/>
        <v>26.184499054820424</v>
      </c>
      <c r="H37" s="5">
        <f t="shared" si="15"/>
        <v>20.515689981096418</v>
      </c>
      <c r="I37" s="5">
        <f t="shared" si="16"/>
        <v>15.656710775047264</v>
      </c>
      <c r="J37" s="5">
        <f t="shared" si="17"/>
        <v>10.257844990548209</v>
      </c>
      <c r="K37" s="5">
        <f t="shared" si="18"/>
        <v>4.7240075614366743</v>
      </c>
      <c r="L37" s="5">
        <f t="shared" si="19"/>
        <v>0</v>
      </c>
      <c r="N37" s="5">
        <f t="shared" si="6"/>
        <v>2.375</v>
      </c>
      <c r="O37" s="5">
        <f t="shared" si="7"/>
        <v>5.640625</v>
      </c>
      <c r="P37" s="5">
        <f t="shared" si="8"/>
        <v>13.396484375</v>
      </c>
      <c r="Q37" s="5">
        <f t="shared" si="9"/>
        <v>31.816650390625</v>
      </c>
      <c r="U37" s="19">
        <f t="shared" ref="U37:U56" si="22">U36+0.5</f>
        <v>0.5</v>
      </c>
      <c r="V37" s="19">
        <f t="shared" si="20"/>
        <v>0.05</v>
      </c>
      <c r="W37" s="19">
        <f t="shared" si="21"/>
        <v>0.14066496163682862</v>
      </c>
      <c r="X37" s="19" t="str">
        <f t="shared" si="21"/>
        <v>--</v>
      </c>
      <c r="Y37" s="19" t="str">
        <f t="shared" si="21"/>
        <v>--</v>
      </c>
      <c r="Z37" s="19" t="str">
        <f t="shared" si="21"/>
        <v>--</v>
      </c>
      <c r="AA37" s="19" t="str">
        <f t="shared" si="21"/>
        <v>--</v>
      </c>
      <c r="AB37" s="19" t="str">
        <f t="shared" si="21"/>
        <v>--</v>
      </c>
      <c r="AC37" s="19" t="str">
        <f t="shared" si="21"/>
        <v>--</v>
      </c>
      <c r="AD37" s="19" t="str">
        <f t="shared" si="21"/>
        <v>--</v>
      </c>
      <c r="AE37" s="19" t="str">
        <f t="shared" si="21"/>
        <v>--</v>
      </c>
      <c r="AF37" s="19" t="str">
        <f t="shared" si="21"/>
        <v>--</v>
      </c>
    </row>
    <row r="38" spans="1:33" x14ac:dyDescent="0.2">
      <c r="A38" s="13">
        <f t="shared" si="4"/>
        <v>2.5</v>
      </c>
      <c r="B38" s="5">
        <f t="shared" si="5"/>
        <v>52.638941398865803</v>
      </c>
      <c r="C38" s="5">
        <f t="shared" si="10"/>
        <v>47.5100189035917</v>
      </c>
      <c r="D38" s="5">
        <f t="shared" si="11"/>
        <v>42.381096408317596</v>
      </c>
      <c r="E38" s="5">
        <f t="shared" si="12"/>
        <v>36.982230623818545</v>
      </c>
      <c r="F38" s="5">
        <f t="shared" si="13"/>
        <v>31.71833648393196</v>
      </c>
      <c r="G38" s="5">
        <f t="shared" si="14"/>
        <v>26.454442344045376</v>
      </c>
      <c r="H38" s="5">
        <f t="shared" si="15"/>
        <v>21.190548204158798</v>
      </c>
      <c r="I38" s="5">
        <f t="shared" si="16"/>
        <v>16.061625708884694</v>
      </c>
      <c r="J38" s="5">
        <f t="shared" si="17"/>
        <v>10.662759924385639</v>
      </c>
      <c r="K38" s="5">
        <f t="shared" si="18"/>
        <v>5.3988657844990557</v>
      </c>
      <c r="L38" s="5">
        <f t="shared" si="19"/>
        <v>0</v>
      </c>
      <c r="N38" s="5">
        <f t="shared" si="6"/>
        <v>2.5</v>
      </c>
      <c r="O38" s="5">
        <f t="shared" si="7"/>
        <v>6.25</v>
      </c>
      <c r="P38" s="5">
        <f t="shared" si="8"/>
        <v>15.625</v>
      </c>
      <c r="Q38" s="5">
        <f t="shared" si="9"/>
        <v>39.0625</v>
      </c>
      <c r="U38" s="19">
        <f t="shared" si="22"/>
        <v>1</v>
      </c>
      <c r="V38" s="19">
        <f t="shared" si="20"/>
        <v>0.1</v>
      </c>
      <c r="W38" s="19">
        <f t="shared" si="21"/>
        <v>0.26342710997442453</v>
      </c>
      <c r="X38" s="19">
        <f t="shared" si="21"/>
        <v>0.1048593350383632</v>
      </c>
      <c r="Y38" s="19" t="str">
        <f t="shared" si="21"/>
        <v>--</v>
      </c>
      <c r="Z38" s="19" t="str">
        <f t="shared" si="21"/>
        <v>--</v>
      </c>
      <c r="AA38" s="19" t="str">
        <f t="shared" si="21"/>
        <v>--</v>
      </c>
      <c r="AB38" s="19" t="str">
        <f t="shared" si="21"/>
        <v>--</v>
      </c>
      <c r="AC38" s="19" t="str">
        <f t="shared" si="21"/>
        <v>--</v>
      </c>
      <c r="AD38" s="19" t="str">
        <f t="shared" si="21"/>
        <v>--</v>
      </c>
      <c r="AE38" s="19" t="str">
        <f t="shared" si="21"/>
        <v>--</v>
      </c>
      <c r="AF38" s="19" t="str">
        <f t="shared" si="21"/>
        <v>--</v>
      </c>
    </row>
    <row r="39" spans="1:33" ht="13.5" thickBot="1" x14ac:dyDescent="0.25">
      <c r="A39" s="16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8"/>
      <c r="U39" s="19">
        <f t="shared" si="22"/>
        <v>1.5</v>
      </c>
      <c r="V39" s="19">
        <f t="shared" si="20"/>
        <v>0.15</v>
      </c>
      <c r="W39" s="19">
        <f t="shared" si="21"/>
        <v>0.36572890025575444</v>
      </c>
      <c r="X39" s="19">
        <f t="shared" si="21"/>
        <v>0.23017902813299229</v>
      </c>
      <c r="Y39" s="19">
        <f t="shared" si="21"/>
        <v>4.3478260869565188E-2</v>
      </c>
      <c r="Z39" s="19" t="str">
        <f t="shared" si="21"/>
        <v>--</v>
      </c>
      <c r="AA39" s="19" t="str">
        <f t="shared" si="21"/>
        <v>--</v>
      </c>
      <c r="AB39" s="19" t="str">
        <f t="shared" si="21"/>
        <v>--</v>
      </c>
      <c r="AC39" s="19" t="str">
        <f t="shared" si="21"/>
        <v>--</v>
      </c>
      <c r="AD39" s="19" t="str">
        <f t="shared" si="21"/>
        <v>--</v>
      </c>
      <c r="AE39" s="19" t="str">
        <f t="shared" si="21"/>
        <v>--</v>
      </c>
      <c r="AF39" s="19" t="str">
        <f t="shared" si="21"/>
        <v>--</v>
      </c>
    </row>
    <row r="40" spans="1:33" x14ac:dyDescent="0.2">
      <c r="A40" s="9" t="s">
        <v>99</v>
      </c>
      <c r="B40" s="10"/>
      <c r="C40" s="10" t="s">
        <v>100</v>
      </c>
      <c r="D40" s="10"/>
      <c r="E40" s="10"/>
      <c r="F40" s="10"/>
      <c r="G40" s="10"/>
      <c r="H40" s="10"/>
      <c r="I40" s="10"/>
      <c r="J40" s="10"/>
      <c r="K40" s="10"/>
      <c r="L40" s="11"/>
      <c r="U40" s="19">
        <f t="shared" si="22"/>
        <v>2</v>
      </c>
      <c r="V40" s="19">
        <f t="shared" si="20"/>
        <v>0.2</v>
      </c>
      <c r="W40" s="19">
        <f t="shared" si="21"/>
        <v>0.45268542199488493</v>
      </c>
      <c r="X40" s="19">
        <f t="shared" si="21"/>
        <v>0.30946291560102301</v>
      </c>
      <c r="Y40" s="19">
        <f t="shared" si="21"/>
        <v>0.14833759590792839</v>
      </c>
      <c r="Z40" s="19">
        <f t="shared" si="21"/>
        <v>2.8132992327365769E-2</v>
      </c>
      <c r="AA40" s="19" t="str">
        <f t="shared" si="21"/>
        <v>--</v>
      </c>
      <c r="AB40" s="19" t="str">
        <f t="shared" si="21"/>
        <v>--</v>
      </c>
      <c r="AC40" s="19" t="str">
        <f t="shared" si="21"/>
        <v>--</v>
      </c>
      <c r="AD40" s="19" t="str">
        <f t="shared" si="21"/>
        <v>--</v>
      </c>
      <c r="AE40" s="19" t="str">
        <f t="shared" si="21"/>
        <v>--</v>
      </c>
      <c r="AF40" s="19" t="str">
        <f t="shared" si="21"/>
        <v>--</v>
      </c>
    </row>
    <row r="41" spans="1:33" x14ac:dyDescent="0.2">
      <c r="A41" s="13" t="s">
        <v>6</v>
      </c>
      <c r="B41" s="21">
        <f>INDEX(LINEST(B$18:B$38,$N$18:$Q$38,TRUE,FALSE),1)</f>
        <v>-1.815492797011939</v>
      </c>
      <c r="C41" s="21">
        <f>INDEX(LINEST(C$20:C$38,$N$20:$Q$38,TRUE,FALSE),1)</f>
        <v>-0.78053280050401042</v>
      </c>
      <c r="D41" s="21">
        <f>INDEX(LINEST(D$21:D$38,$N$21:$Q$38,TRUE,FALSE),1)</f>
        <v>0.35171896057384255</v>
      </c>
      <c r="E41" s="21">
        <f>INDEX(LINEST(E$22:E$38,$N$22:$Q$38,TRUE,FALSE),1)</f>
        <v>4.3886945807177301E-2</v>
      </c>
      <c r="F41" s="21">
        <f>INDEX(LINEST(F$24:F$38,$N$24:$Q$38,TRUE,FALSE),1)</f>
        <v>-1.2699784942946033</v>
      </c>
      <c r="G41" s="21">
        <f>INDEX(LINEST(G$25:G$38,$N$25:$Q$38,TRUE,FALSE),1)</f>
        <v>-4.8680846563644709</v>
      </c>
      <c r="H41" s="21">
        <f>INDEX(LINEST(H$27:H$38,$N$27:$Q$38,TRUE,FALSE),1)</f>
        <v>-1.8122066968944337</v>
      </c>
      <c r="I41" s="21">
        <f>INDEX(LINEST(I$29:I$38,$N$29:$Q$38,TRUE,FALSE),1)</f>
        <v>-4.4298385924081254</v>
      </c>
      <c r="J41" s="21">
        <f>INDEX(LINEST(J$31:J$38,$N$31:$Q$38,TRUE,FALSE),1)</f>
        <v>-38.217425674525941</v>
      </c>
      <c r="K41" s="21">
        <v>0</v>
      </c>
      <c r="L41" s="15"/>
      <c r="U41" s="19">
        <f t="shared" si="22"/>
        <v>2.5</v>
      </c>
      <c r="V41" s="19">
        <f t="shared" si="20"/>
        <v>0.25</v>
      </c>
      <c r="W41" s="19">
        <f t="shared" si="21"/>
        <v>0.52429667519181589</v>
      </c>
      <c r="X41" s="19">
        <f t="shared" si="21"/>
        <v>0.39130434782608692</v>
      </c>
      <c r="Y41" s="19">
        <f t="shared" si="21"/>
        <v>0.23273657289002558</v>
      </c>
      <c r="Z41" s="19">
        <f t="shared" si="21"/>
        <v>0.11253196930946296</v>
      </c>
      <c r="AA41" s="19" t="str">
        <f t="shared" si="21"/>
        <v>--</v>
      </c>
      <c r="AB41" s="19" t="str">
        <f t="shared" si="21"/>
        <v>--</v>
      </c>
      <c r="AC41" s="19" t="str">
        <f t="shared" si="21"/>
        <v>--</v>
      </c>
      <c r="AD41" s="19" t="str">
        <f t="shared" si="21"/>
        <v>--</v>
      </c>
      <c r="AE41" s="19" t="str">
        <f t="shared" si="21"/>
        <v>--</v>
      </c>
      <c r="AF41" s="19" t="str">
        <f t="shared" si="21"/>
        <v>--</v>
      </c>
    </row>
    <row r="42" spans="1:33" x14ac:dyDescent="0.2">
      <c r="A42" s="13" t="s">
        <v>101</v>
      </c>
      <c r="B42" s="21">
        <f>INDEX(LINEST(B$18:B$38,$N$18:$Q$38,TRUE,FALSE),2)</f>
        <v>10.962185572071817</v>
      </c>
      <c r="C42" s="21">
        <f>INDEX(LINEST(C$20:C$38,$N$20:$Q$38,TRUE,FALSE),2)</f>
        <v>5.0201404195651778</v>
      </c>
      <c r="D42" s="21">
        <f>INDEX(LINEST(D$21:D$38,$N$21:$Q$38,TRUE,FALSE),2)</f>
        <v>-0.66638406751852008</v>
      </c>
      <c r="E42" s="21">
        <f>INDEX(LINEST(E$22:E$38,$N$22:$Q$38,TRUE,FALSE),2)</f>
        <v>0.74699239009242979</v>
      </c>
      <c r="F42" s="21">
        <f>INDEX(LINEST(F$24:F$38,$N$24:$Q$38,TRUE,FALSE),2)</f>
        <v>9.6894909466005803</v>
      </c>
      <c r="G42" s="21">
        <f>INDEX(LINEST(G$25:G$38,$N$25:$Q$38,TRUE,FALSE),2)</f>
        <v>36.712583446799272</v>
      </c>
      <c r="H42" s="21">
        <f>INDEX(LINEST(H$27:H$38,$N$27:$Q$38,TRUE,FALSE),2)</f>
        <v>17.013488674733704</v>
      </c>
      <c r="I42" s="21">
        <f>INDEX(LINEST(I$29:I$38,$N$29:$Q$38,TRUE,FALSE),2)</f>
        <v>39.016138996468534</v>
      </c>
      <c r="J42" s="21">
        <f>INDEX(LINEST(J$31:J$38,$N$31:$Q$38,TRUE,FALSE),2)</f>
        <v>323.49567508744735</v>
      </c>
      <c r="K42" s="21">
        <v>0</v>
      </c>
      <c r="L42" s="15"/>
      <c r="U42" s="19">
        <f t="shared" si="22"/>
        <v>3</v>
      </c>
      <c r="V42" s="19">
        <f t="shared" si="20"/>
        <v>0.3</v>
      </c>
      <c r="W42" s="19">
        <f t="shared" si="21"/>
        <v>0.58567774936061379</v>
      </c>
      <c r="X42" s="19">
        <f t="shared" si="21"/>
        <v>0.45268542199488493</v>
      </c>
      <c r="Y42" s="19">
        <f t="shared" si="21"/>
        <v>0.31202046035805631</v>
      </c>
      <c r="Z42" s="19">
        <f t="shared" si="21"/>
        <v>0.19693094629156005</v>
      </c>
      <c r="AA42" s="19">
        <f t="shared" si="21"/>
        <v>6.6496163682864484E-2</v>
      </c>
      <c r="AB42" s="19" t="str">
        <f t="shared" si="21"/>
        <v>--</v>
      </c>
      <c r="AC42" s="19" t="str">
        <f t="shared" si="21"/>
        <v>--</v>
      </c>
      <c r="AD42" s="19" t="str">
        <f t="shared" si="21"/>
        <v>--</v>
      </c>
      <c r="AE42" s="19" t="str">
        <f t="shared" si="21"/>
        <v>--</v>
      </c>
      <c r="AF42" s="19" t="str">
        <f t="shared" si="21"/>
        <v>--</v>
      </c>
    </row>
    <row r="43" spans="1:33" x14ac:dyDescent="0.2">
      <c r="A43" s="13" t="s">
        <v>2</v>
      </c>
      <c r="B43" s="21">
        <f>INDEX(LINEST(B$18:B$38,$N$18:$Q$38,TRUE,FALSE),3)</f>
        <v>-31.672146466722296</v>
      </c>
      <c r="C43" s="21">
        <f>INDEX(LINEST(C$20:C$38,$N$20:$Q$38,TRUE,FALSE),3)</f>
        <v>-20.275059174494782</v>
      </c>
      <c r="D43" s="21">
        <f>INDEX(LINEST(D$21:D$38,$N$21:$Q$38,TRUE,FALSE),3)</f>
        <v>-11.534033399359776</v>
      </c>
      <c r="E43" s="21">
        <f>INDEX(LINEST(E$22:E$38,$N$22:$Q$38,TRUE,FALSE),3)</f>
        <v>-13.47192089573911</v>
      </c>
      <c r="F43" s="21">
        <f>INDEX(LINEST(F$24:F$38,$N$24:$Q$38,TRUE,FALSE),3)</f>
        <v>-35.514296574651141</v>
      </c>
      <c r="G43" s="21">
        <f>INDEX(LINEST(G$25:G$38,$N$25:$Q$38,TRUE,FALSE),3)</f>
        <v>-108.70008856927662</v>
      </c>
      <c r="H43" s="21">
        <f>INDEX(LINEST(H$27:H$38,$N$27:$Q$38,TRUE,FALSE),3)</f>
        <v>-63.832673690511591</v>
      </c>
      <c r="I43" s="21">
        <f>INDEX(LINEST(I$29:I$38,$N$29:$Q$38,TRUE,FALSE),3)</f>
        <v>-135.30514098374832</v>
      </c>
      <c r="J43" s="21">
        <f>INDEX(LINEST(J$31:J$38,$N$31:$Q$38,TRUE,FALSE),3)</f>
        <v>-1028.7865956352498</v>
      </c>
      <c r="K43" s="21">
        <f>INDEX(LINEST(K$34:K$38,$N$34:$O$38,TRUE,FALSE),1)</f>
        <v>-9.255198487712704</v>
      </c>
      <c r="L43" s="15"/>
      <c r="U43" s="19">
        <f t="shared" si="22"/>
        <v>3.5</v>
      </c>
      <c r="V43" s="19">
        <f t="shared" si="20"/>
        <v>0.35</v>
      </c>
      <c r="W43" s="19">
        <f t="shared" si="21"/>
        <v>0.65217391304347827</v>
      </c>
      <c r="X43" s="19">
        <f t="shared" si="21"/>
        <v>0.5191815856777493</v>
      </c>
      <c r="Y43" s="19">
        <f t="shared" si="21"/>
        <v>0.38107416879795397</v>
      </c>
      <c r="Z43" s="19">
        <f t="shared" si="21"/>
        <v>0.26854219948849101</v>
      </c>
      <c r="AA43" s="19">
        <f t="shared" si="21"/>
        <v>0.14833759590792839</v>
      </c>
      <c r="AB43" s="19">
        <f t="shared" si="21"/>
        <v>5.1150895140664732E-3</v>
      </c>
      <c r="AC43" s="19" t="str">
        <f t="shared" si="21"/>
        <v>--</v>
      </c>
      <c r="AD43" s="19" t="str">
        <f t="shared" si="21"/>
        <v>--</v>
      </c>
      <c r="AE43" s="19" t="str">
        <f t="shared" si="21"/>
        <v>--</v>
      </c>
      <c r="AF43" s="19" t="str">
        <f t="shared" si="21"/>
        <v>--</v>
      </c>
    </row>
    <row r="44" spans="1:33" x14ac:dyDescent="0.2">
      <c r="A44" s="13" t="s">
        <v>102</v>
      </c>
      <c r="B44" s="21">
        <f>INDEX(LINEST(B$18:B$38,$N$18:$Q$38,TRUE,FALSE),4)</f>
        <v>59.7068238763163</v>
      </c>
      <c r="C44" s="21">
        <f>INDEX(LINEST(C$20:C$38,$N$20:$Q$38,TRUE,FALSE),4)</f>
        <v>52.778350675061873</v>
      </c>
      <c r="D44" s="21">
        <f>INDEX(LINEST(D$21:D$38,$N$21:$Q$38,TRUE,FALSE),4)</f>
        <v>50.283496189634548</v>
      </c>
      <c r="E44" s="21">
        <f>INDEX(LINEST(E$22:E$38,$N$22:$Q$38,TRUE,FALSE),4)</f>
        <v>51.521567186834062</v>
      </c>
      <c r="F44" s="21">
        <f>INDEX(LINEST(F$24:F$38,$N$24:$Q$38,TRUE,FALSE),4)</f>
        <v>75.453370205118972</v>
      </c>
      <c r="G44" s="21">
        <f>INDEX(LINEST(G$25:G$38,$N$25:$Q$38,TRUE,FALSE),4)</f>
        <v>160.3541316906167</v>
      </c>
      <c r="H44" s="21">
        <f>INDEX(LINEST(H$27:H$38,$N$27:$Q$38,TRUE,FALSE),4)</f>
        <v>118.48603454935318</v>
      </c>
      <c r="I44" s="21">
        <f>INDEX(LINEST(I$29:I$38,$N$29:$Q$38,TRUE,FALSE),4)</f>
        <v>225.17591091953736</v>
      </c>
      <c r="J44" s="21">
        <f>INDEX(LINEST(J$31:J$38,$N$31:$Q$38,TRUE,FALSE),4)</f>
        <v>1466.4448129693426</v>
      </c>
      <c r="K44" s="21">
        <f>INDEX(LINEST(K$34:K$38,$N$34:$O$38,TRUE,FALSE),2)</f>
        <v>49.962646502835725</v>
      </c>
      <c r="L44" s="15"/>
      <c r="U44" s="19">
        <f t="shared" si="22"/>
        <v>4</v>
      </c>
      <c r="V44" s="19">
        <f t="shared" si="20"/>
        <v>0.4</v>
      </c>
      <c r="W44" s="19">
        <f t="shared" si="21"/>
        <v>0.70332480818414322</v>
      </c>
      <c r="X44" s="19">
        <f t="shared" si="21"/>
        <v>0.57800511508951402</v>
      </c>
      <c r="Y44" s="19">
        <f t="shared" si="21"/>
        <v>0.44757033248081846</v>
      </c>
      <c r="Z44" s="19">
        <f t="shared" si="21"/>
        <v>0.34271099744245526</v>
      </c>
      <c r="AA44" s="19">
        <f t="shared" si="21"/>
        <v>0.22250639386189264</v>
      </c>
      <c r="AB44" s="19">
        <f t="shared" si="21"/>
        <v>9.7186700767263434E-2</v>
      </c>
      <c r="AC44" s="19" t="str">
        <f t="shared" si="21"/>
        <v>--</v>
      </c>
      <c r="AD44" s="19" t="str">
        <f t="shared" si="21"/>
        <v>--</v>
      </c>
      <c r="AE44" s="19" t="str">
        <f t="shared" si="21"/>
        <v>--</v>
      </c>
      <c r="AF44" s="19" t="str">
        <f t="shared" si="21"/>
        <v>--</v>
      </c>
    </row>
    <row r="45" spans="1:33" x14ac:dyDescent="0.2">
      <c r="A45" s="13" t="s">
        <v>103</v>
      </c>
      <c r="B45" s="21">
        <f>INDEX(LINEST(B$18:B$38,$N$18:$Q$38,TRUE,FALSE),5)</f>
        <v>0.39487525871015094</v>
      </c>
      <c r="C45" s="21">
        <f>INDEX(LINEST(C$20:C$38,$N$20:$Q$38,TRUE,FALSE),5)</f>
        <v>-5.8253706098895766</v>
      </c>
      <c r="D45" s="21">
        <f>INDEX(LINEST(D$21:D$38,$N$21:$Q$38,TRUE,FALSE),5)</f>
        <v>-14.665549033263595</v>
      </c>
      <c r="E45" s="21">
        <f>INDEX(LINEST(E$22:E$38,$N$22:$Q$38,TRUE,FALSE),5)</f>
        <v>-21.050894285298735</v>
      </c>
      <c r="F45" s="21">
        <f>INDEX(LINEST(F$24:F$38,$N$24:$Q$38,TRUE,FALSE),5)</f>
        <v>-36.757675598040805</v>
      </c>
      <c r="G45" s="21">
        <f>INDEX(LINEST(G$25:G$38,$N$25:$Q$38,TRUE,FALSE),5)</f>
        <v>-78.499977857681529</v>
      </c>
      <c r="H45" s="21">
        <f>INDEX(LINEST(H$27:H$38,$N$27:$Q$38,TRUE,FALSE),5)</f>
        <v>-71.105516411750955</v>
      </c>
      <c r="I45" s="21">
        <f>INDEX(LINEST(I$29:I$38,$N$29:$Q$38,TRUE,FALSE),5)</f>
        <v>-137.77222758336126</v>
      </c>
      <c r="J45" s="21">
        <f>INDEX(LINEST(J$31:J$38,$N$31:$Q$38,TRUE,FALSE),5)</f>
        <v>-787.29040642737993</v>
      </c>
      <c r="K45" s="21">
        <f>INDEX(LINEST(K$34:K$38,$N$34:$O$38,TRUE,FALSE),3)</f>
        <v>-61.682041587901907</v>
      </c>
      <c r="L45" s="15"/>
      <c r="U45" s="19">
        <f t="shared" si="22"/>
        <v>4.5</v>
      </c>
      <c r="V45" s="19">
        <f t="shared" si="20"/>
        <v>0.45</v>
      </c>
      <c r="W45" s="19">
        <f t="shared" si="21"/>
        <v>0.75703324808184147</v>
      </c>
      <c r="X45" s="19">
        <f t="shared" si="21"/>
        <v>0.63682864450127874</v>
      </c>
      <c r="Y45" s="19">
        <f t="shared" si="21"/>
        <v>0.50639386189258317</v>
      </c>
      <c r="Z45" s="19">
        <f t="shared" si="21"/>
        <v>0.39897698209718668</v>
      </c>
      <c r="AA45" s="19">
        <f t="shared" si="21"/>
        <v>0.28132992327365725</v>
      </c>
      <c r="AB45" s="19">
        <f t="shared" si="21"/>
        <v>0.1662404092071611</v>
      </c>
      <c r="AC45" s="19">
        <f t="shared" si="21"/>
        <v>5.1150895140664954E-2</v>
      </c>
      <c r="AD45" s="19" t="str">
        <f t="shared" si="21"/>
        <v>--</v>
      </c>
      <c r="AE45" s="19" t="str">
        <f t="shared" si="21"/>
        <v>--</v>
      </c>
      <c r="AF45" s="19" t="str">
        <f t="shared" si="21"/>
        <v>--</v>
      </c>
    </row>
    <row r="46" spans="1:33" x14ac:dyDescent="0.2">
      <c r="A46" s="20" t="s">
        <v>104</v>
      </c>
      <c r="B46" s="22">
        <f t="shared" ref="B46:J46" si="23">B$41*$A32^4+B$42*$A32^3+B$43*$A32^2+B$44*$A32^1+B$45</f>
        <v>49.60899504752377</v>
      </c>
      <c r="C46" s="22">
        <f t="shared" si="23"/>
        <v>44.028645449708499</v>
      </c>
      <c r="D46" s="22">
        <f t="shared" si="23"/>
        <v>37.734929058769993</v>
      </c>
      <c r="E46" s="22">
        <f t="shared" si="23"/>
        <v>32.269114439435796</v>
      </c>
      <c r="F46" s="22">
        <f t="shared" si="23"/>
        <v>26.54179530548052</v>
      </c>
      <c r="G46" s="22">
        <f t="shared" si="23"/>
        <v>20.324923658572118</v>
      </c>
      <c r="H46" s="22">
        <f t="shared" si="23"/>
        <v>14.942630022781231</v>
      </c>
      <c r="I46" s="22">
        <f t="shared" si="23"/>
        <v>9.4687013364707013</v>
      </c>
      <c r="J46" s="22">
        <f t="shared" si="23"/>
        <v>3.6260482900835314</v>
      </c>
      <c r="K46" s="22">
        <f>K$41*$A36^4+K$42*$A36^3+K$43*$A36^2+K$44*$A36^1+K$45</f>
        <v>3.8794706994329005</v>
      </c>
      <c r="L46" s="15"/>
      <c r="U46" s="19">
        <f t="shared" si="22"/>
        <v>5</v>
      </c>
      <c r="V46" s="19">
        <f t="shared" si="20"/>
        <v>0.5</v>
      </c>
      <c r="W46" s="19">
        <f t="shared" si="21"/>
        <v>0.80562659846547313</v>
      </c>
      <c r="X46" s="19">
        <f t="shared" si="21"/>
        <v>0.68797953964194369</v>
      </c>
      <c r="Y46" s="19">
        <f t="shared" si="21"/>
        <v>0.56521739130434789</v>
      </c>
      <c r="Z46" s="19">
        <f t="shared" si="21"/>
        <v>0.45012787723785164</v>
      </c>
      <c r="AA46" s="19">
        <f t="shared" si="21"/>
        <v>0.33759590792838878</v>
      </c>
      <c r="AB46" s="19">
        <f t="shared" si="21"/>
        <v>0.22506393861892582</v>
      </c>
      <c r="AC46" s="19">
        <f t="shared" si="21"/>
        <v>0.11764705882352944</v>
      </c>
      <c r="AD46" s="19" t="str">
        <f t="shared" si="21"/>
        <v>--</v>
      </c>
      <c r="AE46" s="19" t="str">
        <f t="shared" si="21"/>
        <v>--</v>
      </c>
      <c r="AF46" s="19" t="str">
        <f t="shared" si="21"/>
        <v>--</v>
      </c>
    </row>
    <row r="47" spans="1:33" ht="15" x14ac:dyDescent="0.25">
      <c r="A47" s="13" t="s">
        <v>105</v>
      </c>
      <c r="B47" s="23">
        <f>(B32-B46)/B32</f>
        <v>6.6182761700330399E-3</v>
      </c>
      <c r="C47" s="23">
        <f t="shared" ref="C47:J47" si="24">(C32-C46)/C32</f>
        <v>-6.338369720311198E-4</v>
      </c>
      <c r="D47" s="23">
        <f t="shared" si="24"/>
        <v>5.0650701232435131E-3</v>
      </c>
      <c r="E47" s="23">
        <f t="shared" si="24"/>
        <v>3.8304424333841834E-3</v>
      </c>
      <c r="F47" s="23">
        <f t="shared" si="24"/>
        <v>6.8323489376122338E-3</v>
      </c>
      <c r="G47" s="23">
        <f t="shared" si="24"/>
        <v>2.7376207742364263E-3</v>
      </c>
      <c r="H47" s="23">
        <f t="shared" si="24"/>
        <v>-6.4491064491048493E-3</v>
      </c>
      <c r="I47" s="23">
        <f t="shared" si="24"/>
        <v>-2.1894771894757029E-3</v>
      </c>
      <c r="J47" s="23">
        <f t="shared" si="24"/>
        <v>4.9903799905652996E-3</v>
      </c>
      <c r="K47" s="23">
        <f>(K36-K46)/K36</f>
        <v>8.8669950738906357E-3</v>
      </c>
      <c r="L47" s="15"/>
      <c r="U47" s="19">
        <f t="shared" si="22"/>
        <v>5.5</v>
      </c>
      <c r="V47" s="19">
        <f t="shared" si="20"/>
        <v>0.55000000000000004</v>
      </c>
      <c r="W47" s="19">
        <f t="shared" si="21"/>
        <v>0.84654731457800514</v>
      </c>
      <c r="X47" s="19">
        <f t="shared" si="21"/>
        <v>0.73913043478260865</v>
      </c>
      <c r="Y47" s="19">
        <f t="shared" si="21"/>
        <v>0.61125319693094626</v>
      </c>
      <c r="Z47" s="19">
        <f t="shared" si="21"/>
        <v>0.49360613810741683</v>
      </c>
      <c r="AA47" s="19">
        <f t="shared" si="21"/>
        <v>0.38874680306905374</v>
      </c>
      <c r="AB47" s="19">
        <f t="shared" si="21"/>
        <v>0.27365728900255759</v>
      </c>
      <c r="AC47" s="19">
        <f t="shared" si="21"/>
        <v>0.16368286445012792</v>
      </c>
      <c r="AD47" s="19">
        <f t="shared" si="21"/>
        <v>3.069053708439895E-2</v>
      </c>
      <c r="AE47" s="19" t="str">
        <f t="shared" si="21"/>
        <v>--</v>
      </c>
      <c r="AF47" s="19" t="str">
        <f t="shared" si="21"/>
        <v>--</v>
      </c>
    </row>
    <row r="48" spans="1:33" ht="13.5" thickBot="1" x14ac:dyDescent="0.25">
      <c r="A48" s="16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8"/>
      <c r="U48" s="19">
        <f t="shared" si="22"/>
        <v>6</v>
      </c>
      <c r="V48" s="19">
        <f t="shared" si="20"/>
        <v>0.6</v>
      </c>
      <c r="W48" s="19">
        <f t="shared" si="21"/>
        <v>0.89002557544757033</v>
      </c>
      <c r="X48" s="19">
        <f t="shared" si="21"/>
        <v>0.77749360613810747</v>
      </c>
      <c r="Y48" s="19">
        <f t="shared" si="21"/>
        <v>0.64961636828644509</v>
      </c>
      <c r="Z48" s="19">
        <f t="shared" si="21"/>
        <v>0.5421994884910486</v>
      </c>
      <c r="AA48" s="19">
        <f t="shared" si="21"/>
        <v>0.43222506393861893</v>
      </c>
      <c r="AB48" s="19">
        <f t="shared" si="21"/>
        <v>0.31713554987212278</v>
      </c>
      <c r="AC48" s="19">
        <f t="shared" si="21"/>
        <v>0.21483375959079287</v>
      </c>
      <c r="AD48" s="19">
        <f t="shared" si="21"/>
        <v>9.2071611253196961E-2</v>
      </c>
      <c r="AE48" s="19" t="str">
        <f t="shared" si="21"/>
        <v>--</v>
      </c>
      <c r="AF48" s="19" t="str">
        <f t="shared" si="21"/>
        <v>--</v>
      </c>
    </row>
    <row r="49" spans="1:32" x14ac:dyDescent="0.2">
      <c r="A49" s="9" t="s">
        <v>106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1"/>
      <c r="U49" s="19">
        <f t="shared" si="22"/>
        <v>6.5</v>
      </c>
      <c r="V49" s="19">
        <f t="shared" si="20"/>
        <v>0.65</v>
      </c>
      <c r="W49" s="19">
        <f t="shared" si="21"/>
        <v>0.92071611253196928</v>
      </c>
      <c r="X49" s="19">
        <f t="shared" si="21"/>
        <v>0.8132992327365729</v>
      </c>
      <c r="Y49" s="19">
        <f t="shared" si="21"/>
        <v>0.68542199488491051</v>
      </c>
      <c r="Z49" s="19">
        <f t="shared" si="21"/>
        <v>0.58312020460358061</v>
      </c>
      <c r="AA49" s="19">
        <f t="shared" si="21"/>
        <v>0.46803069053708435</v>
      </c>
      <c r="AB49" s="19">
        <f t="shared" si="21"/>
        <v>0.3529411764705882</v>
      </c>
      <c r="AC49" s="19">
        <f t="shared" si="21"/>
        <v>0.25319693094629159</v>
      </c>
      <c r="AD49" s="19">
        <f t="shared" si="21"/>
        <v>0.13810741687979544</v>
      </c>
      <c r="AE49" s="19">
        <f t="shared" si="21"/>
        <v>1.2787723785166238E-2</v>
      </c>
      <c r="AF49" s="19" t="str">
        <f t="shared" si="21"/>
        <v>--</v>
      </c>
    </row>
    <row r="50" spans="1:32" x14ac:dyDescent="0.2">
      <c r="A50" s="20" t="s">
        <v>107</v>
      </c>
      <c r="L50" s="15"/>
      <c r="U50" s="19">
        <f t="shared" si="22"/>
        <v>7</v>
      </c>
      <c r="V50" s="19">
        <f t="shared" si="20"/>
        <v>0.7</v>
      </c>
      <c r="W50" s="19">
        <f t="shared" si="21"/>
        <v>0.94629156010230175</v>
      </c>
      <c r="X50" s="19">
        <f t="shared" si="21"/>
        <v>0.8337595907928389</v>
      </c>
      <c r="Y50" s="19">
        <f t="shared" si="21"/>
        <v>0.71867007672634275</v>
      </c>
      <c r="Z50" s="19">
        <f t="shared" si="21"/>
        <v>0.61381074168797956</v>
      </c>
      <c r="AA50" s="19">
        <f t="shared" si="21"/>
        <v>0.50639386189258317</v>
      </c>
      <c r="AB50" s="19">
        <f t="shared" si="21"/>
        <v>0.38618925831202044</v>
      </c>
      <c r="AC50" s="19">
        <f t="shared" si="21"/>
        <v>0.28132992327365725</v>
      </c>
      <c r="AD50" s="19">
        <f t="shared" si="21"/>
        <v>0.17902813299232734</v>
      </c>
      <c r="AE50" s="19">
        <f t="shared" si="21"/>
        <v>6.9053708439897665E-2</v>
      </c>
      <c r="AF50" s="19" t="str">
        <f t="shared" si="21"/>
        <v>--</v>
      </c>
    </row>
    <row r="51" spans="1:32" x14ac:dyDescent="0.2">
      <c r="A51" s="13" t="str">
        <f>TEXT($B$12*(COLUMN(B14)-2)*0.1,"0.0000") &amp; ", " &amp; TEXT(B10,"0.00") &amp; ", " &amp; TEXT(B45,"0.0000E+00") &amp; ", " &amp; TEXT(B44,"0.0000E+00") &amp; ", " &amp; TEXT(B43,"0.0000E+00") &amp; ", " &amp; TEXT(B42,"0.0000E+00") &amp; ", " &amp; TEXT(B41,"0.0000E+00")</f>
        <v>0.0000, -8.15, 3.9488E-01, 5.9707E+01, -3.1672E+01, 1.0962E+01, -1.8155E+00</v>
      </c>
      <c r="L51" s="15"/>
      <c r="U51" s="19">
        <f t="shared" si="22"/>
        <v>7.5</v>
      </c>
      <c r="V51" s="19">
        <f t="shared" si="20"/>
        <v>0.75</v>
      </c>
      <c r="W51" s="19">
        <f t="shared" si="21"/>
        <v>0.96675191815856776</v>
      </c>
      <c r="X51" s="19">
        <f t="shared" si="21"/>
        <v>0.8542199488491049</v>
      </c>
      <c r="Y51" s="19">
        <f t="shared" si="21"/>
        <v>0.74168797953964194</v>
      </c>
      <c r="Z51" s="19">
        <f t="shared" si="21"/>
        <v>0.64194373401534532</v>
      </c>
      <c r="AA51" s="19">
        <f t="shared" si="21"/>
        <v>0.53196930946291565</v>
      </c>
      <c r="AB51" s="19">
        <f t="shared" si="21"/>
        <v>0.41687979539641939</v>
      </c>
      <c r="AC51" s="19">
        <f t="shared" si="21"/>
        <v>0.31202046035805631</v>
      </c>
      <c r="AD51" s="19">
        <f t="shared" si="21"/>
        <v>0.21483375959079287</v>
      </c>
      <c r="AE51" s="19">
        <f t="shared" si="21"/>
        <v>0.1048593350383632</v>
      </c>
      <c r="AF51" s="19" t="str">
        <f t="shared" si="21"/>
        <v>--</v>
      </c>
    </row>
    <row r="52" spans="1:32" x14ac:dyDescent="0.2">
      <c r="A52" s="13" t="str">
        <f>TEXT($B$12*(COLUMN(C14)-2)*0.1,"0.0000") &amp; ", " &amp; TEXT(B10,"0.00") &amp; ", " &amp; TEXT(C45,"0.0000E+00") &amp; ", " &amp; TEXT(C44,"0.0000E+00") &amp; ", " &amp; TEXT(C43,"0.0000E+00") &amp; ", " &amp; TEXT(C42,"0.0000E+00") &amp; ", " &amp; TEXT(C41,"0.0000E+00")</f>
        <v>1.1472, -8.15, -5.8254E+00, 5.2778E+01, -2.0275E+01, 5.0201E+00, -7.8053E-01</v>
      </c>
      <c r="L52" s="15"/>
      <c r="U52" s="19">
        <f t="shared" si="22"/>
        <v>8</v>
      </c>
      <c r="V52" s="19">
        <f t="shared" si="20"/>
        <v>0.8</v>
      </c>
      <c r="W52" s="19">
        <f t="shared" ref="W52:AF56" si="25">IF(1-(W29-$Z$8)/($Z$9-$Z$8)&gt;1,"--",1-(W29-$Z$8)/($Z$9-$Z$8))</f>
        <v>0.979539641943734</v>
      </c>
      <c r="X52" s="19">
        <f t="shared" si="25"/>
        <v>0.8746803069053708</v>
      </c>
      <c r="Y52" s="19">
        <f t="shared" si="25"/>
        <v>0.75959079283887465</v>
      </c>
      <c r="Z52" s="19">
        <f t="shared" si="25"/>
        <v>0.65728900255754474</v>
      </c>
      <c r="AA52" s="19">
        <f t="shared" si="25"/>
        <v>0.55242966751918154</v>
      </c>
      <c r="AB52" s="19">
        <f t="shared" si="25"/>
        <v>0.4373401534526854</v>
      </c>
      <c r="AC52" s="19">
        <f t="shared" si="25"/>
        <v>0.3324808184143222</v>
      </c>
      <c r="AD52" s="19">
        <f t="shared" si="25"/>
        <v>0.23785166240409206</v>
      </c>
      <c r="AE52" s="19">
        <f t="shared" si="25"/>
        <v>0.13043478260869568</v>
      </c>
      <c r="AF52" s="19">
        <f t="shared" si="25"/>
        <v>2.3017902813299185E-2</v>
      </c>
    </row>
    <row r="53" spans="1:32" x14ac:dyDescent="0.2">
      <c r="A53" s="13" t="str">
        <f>TEXT($B$12*(COLUMN(D14)-2)*0.1,"0.0000") &amp; ", " &amp; TEXT(B10,"0.00") &amp; ", " &amp; TEXT(D45,"0.0000E+00") &amp; ", " &amp; TEXT(D44,"0.0000E+00") &amp; ", " &amp; TEXT(D43,"0.0000E+00") &amp; ", " &amp; TEXT(D42,"0.0000E+00") &amp; ", " &amp; TEXT(D41,"0.0000E+00")</f>
        <v>2.2943, -8.15, -1.4666E+01, 5.0283E+01, -1.1534E+01, -6.6638E-01, 3.5172E-01</v>
      </c>
      <c r="L53" s="15"/>
      <c r="U53" s="19">
        <f t="shared" si="22"/>
        <v>8.5</v>
      </c>
      <c r="V53" s="19">
        <f t="shared" si="20"/>
        <v>0.85</v>
      </c>
      <c r="W53" s="19">
        <f t="shared" si="25"/>
        <v>0.98465473145780047</v>
      </c>
      <c r="X53" s="19">
        <f t="shared" si="25"/>
        <v>0.89002557544757033</v>
      </c>
      <c r="Y53" s="19">
        <f t="shared" si="25"/>
        <v>0.77237851662404089</v>
      </c>
      <c r="Z53" s="19">
        <f t="shared" si="25"/>
        <v>0.67263427109974416</v>
      </c>
      <c r="AA53" s="19">
        <f t="shared" si="25"/>
        <v>0.57289002557544755</v>
      </c>
      <c r="AB53" s="19">
        <f t="shared" si="25"/>
        <v>0.46035805626598469</v>
      </c>
      <c r="AC53" s="19">
        <f t="shared" si="25"/>
        <v>0.35549872122762149</v>
      </c>
      <c r="AD53" s="19">
        <f t="shared" si="25"/>
        <v>0.26086956521739135</v>
      </c>
      <c r="AE53" s="19">
        <f t="shared" si="25"/>
        <v>0.15601023017902815</v>
      </c>
      <c r="AF53" s="19">
        <f t="shared" si="25"/>
        <v>5.1150895140664954E-2</v>
      </c>
    </row>
    <row r="54" spans="1:32" x14ac:dyDescent="0.2">
      <c r="A54" s="13" t="str">
        <f>TEXT($B$12*(COLUMN(E14)-2)*0.1,"0.0000") &amp; ", " &amp; TEXT(B10,"0.00") &amp; ", " &amp; TEXT(E45,"0.0000E+00") &amp; ", " &amp; TEXT(E44,"0.0000E+00") &amp; ", " &amp; TEXT(E43,"0.0000E+00") &amp; ", " &amp; TEXT(E42,"0.0000E+00") &amp; ", " &amp; TEXT(E41,"0.0000E+00")</f>
        <v>3.4415, -8.15, -2.1051E+01, 5.1522E+01, -1.3472E+01, 7.4699E-01, 4.3887E-02</v>
      </c>
      <c r="L54" s="15"/>
      <c r="U54" s="19">
        <f t="shared" si="22"/>
        <v>9</v>
      </c>
      <c r="V54" s="19">
        <f t="shared" si="20"/>
        <v>0.9</v>
      </c>
      <c r="W54" s="19">
        <f t="shared" si="25"/>
        <v>0.98976982097186705</v>
      </c>
      <c r="X54" s="19">
        <f t="shared" si="25"/>
        <v>0.89769820971867009</v>
      </c>
      <c r="Y54" s="19">
        <f t="shared" si="25"/>
        <v>0.78260869565217395</v>
      </c>
      <c r="Z54" s="19">
        <f t="shared" si="25"/>
        <v>0.68797953964194369</v>
      </c>
      <c r="AA54" s="19">
        <f t="shared" si="25"/>
        <v>0.59079283887468037</v>
      </c>
      <c r="AB54" s="19">
        <f t="shared" si="25"/>
        <v>0.48337595907928388</v>
      </c>
      <c r="AC54" s="19">
        <f t="shared" si="25"/>
        <v>0.37340153452685421</v>
      </c>
      <c r="AD54" s="19">
        <f t="shared" si="25"/>
        <v>0.27877237851662406</v>
      </c>
      <c r="AE54" s="19">
        <f t="shared" si="25"/>
        <v>0.17647058823529416</v>
      </c>
      <c r="AF54" s="19">
        <f t="shared" si="25"/>
        <v>7.4168797953964249E-2</v>
      </c>
    </row>
    <row r="55" spans="1:32" x14ac:dyDescent="0.2">
      <c r="A55" s="13" t="str">
        <f>TEXT($B$12*(COLUMN(F14)-2)*0.1,"0.0000") &amp; ", " &amp; TEXT(B10,"0.00") &amp; ", " &amp; TEXT(F45,"0.0000E+00") &amp; ", " &amp; TEXT(F44,"0.0000E+00") &amp; ", " &amp; TEXT(F43,"0.0000E+00") &amp; ", " &amp; TEXT(F42,"0.0000E+00") &amp; ", " &amp; TEXT(F41,"0.0000E+00")</f>
        <v>4.5887, -8.15, -3.6758E+01, 7.5453E+01, -3.5514E+01, 9.6895E+00, -1.2700E+00</v>
      </c>
      <c r="L55" s="15"/>
      <c r="U55" s="19">
        <f t="shared" si="22"/>
        <v>9.5</v>
      </c>
      <c r="V55" s="19">
        <f t="shared" si="20"/>
        <v>0.95</v>
      </c>
      <c r="W55" s="19">
        <f t="shared" si="25"/>
        <v>0.99232736572890023</v>
      </c>
      <c r="X55" s="19">
        <f t="shared" si="25"/>
        <v>0.90025575447570327</v>
      </c>
      <c r="Y55" s="19">
        <f t="shared" si="25"/>
        <v>0.79539641943734019</v>
      </c>
      <c r="Z55" s="19">
        <f t="shared" si="25"/>
        <v>0.69565217391304346</v>
      </c>
      <c r="AA55" s="19">
        <f t="shared" si="25"/>
        <v>0.59590792838874673</v>
      </c>
      <c r="AB55" s="19">
        <f t="shared" si="25"/>
        <v>0.49616368286445012</v>
      </c>
      <c r="AC55" s="19">
        <f t="shared" si="25"/>
        <v>0.38874680306905374</v>
      </c>
      <c r="AD55" s="19">
        <f t="shared" si="25"/>
        <v>0.29667519181585678</v>
      </c>
      <c r="AE55" s="19">
        <f t="shared" si="25"/>
        <v>0.19437340153452687</v>
      </c>
      <c r="AF55" s="19">
        <f t="shared" si="25"/>
        <v>8.9514066496163669E-2</v>
      </c>
    </row>
    <row r="56" spans="1:32" x14ac:dyDescent="0.2">
      <c r="A56" s="13" t="str">
        <f>TEXT($B$12*(COLUMN(G14)-2)*0.1,"0.0000") &amp; ", " &amp; TEXT(B10,"0.00") &amp; ", " &amp; TEXT(G45,"0.0000E+00") &amp; ", " &amp; TEXT(G44,"0.0000E+00") &amp; ", " &amp; TEXT(G43,"0.0000E+00") &amp; ", " &amp; TEXT(G42,"0.0000E+00") &amp; ", " &amp; TEXT(G41,"0.0000E+00")</f>
        <v>5.7359, -8.15, -7.8500E+01, 1.6035E+02, -1.0870E+02, 3.6713E+01, -4.8681E+00</v>
      </c>
      <c r="L56" s="15"/>
      <c r="U56" s="19">
        <f t="shared" si="22"/>
        <v>10</v>
      </c>
      <c r="V56" s="19">
        <f t="shared" si="20"/>
        <v>1</v>
      </c>
      <c r="W56" s="19">
        <f t="shared" si="25"/>
        <v>0.99744245524296671</v>
      </c>
      <c r="X56" s="19">
        <f t="shared" si="25"/>
        <v>0.90025575447570327</v>
      </c>
      <c r="Y56" s="19">
        <f t="shared" si="25"/>
        <v>0.80306905370843995</v>
      </c>
      <c r="Z56" s="19">
        <f t="shared" si="25"/>
        <v>0.70076726342711004</v>
      </c>
      <c r="AA56" s="19">
        <f t="shared" si="25"/>
        <v>0.60102301790281332</v>
      </c>
      <c r="AB56" s="19">
        <f t="shared" si="25"/>
        <v>0.50127877237851659</v>
      </c>
      <c r="AC56" s="19">
        <f t="shared" si="25"/>
        <v>0.40153452685421998</v>
      </c>
      <c r="AD56" s="19">
        <f t="shared" si="25"/>
        <v>0.30434782608695654</v>
      </c>
      <c r="AE56" s="19">
        <f t="shared" si="25"/>
        <v>0.20204603580562663</v>
      </c>
      <c r="AF56" s="19">
        <f t="shared" si="25"/>
        <v>0.10230179028132991</v>
      </c>
    </row>
    <row r="57" spans="1:32" x14ac:dyDescent="0.2">
      <c r="A57" s="13" t="str">
        <f>TEXT($B$12*(COLUMN(H14)-2)*0.1,"0.0000") &amp; ", " &amp; TEXT(B10,"0.00") &amp; ", " &amp; TEXT(H45,"0.0000E+00") &amp; ", " &amp; TEXT(H44,"0.0000E+00") &amp; ", " &amp; TEXT(H43,"0.0000E+00") &amp; ", " &amp; TEXT(H42,"0.0000E+00") &amp; ", " &amp; TEXT(H41,"0.0000E+00")</f>
        <v>6.8830, -8.15, -7.1106E+01, 1.1849E+02, -6.3833E+01, 1.7013E+01, -1.8122E+00</v>
      </c>
      <c r="L57" s="15"/>
    </row>
    <row r="58" spans="1:32" x14ac:dyDescent="0.2">
      <c r="A58" s="13" t="str">
        <f>TEXT($B$12*(COLUMN(I14)-2)*0.1,"0.0000") &amp; ", " &amp; TEXT(B10,"0.00") &amp; ", " &amp; TEXT(I45,"0.0000E+00") &amp; ", " &amp; TEXT(I44,"0.0000E+00") &amp; ", " &amp; TEXT(I43,"0.0000E+00") &amp; ", " &amp; TEXT(I42,"0.0000E+00") &amp; ", " &amp; TEXT(I41,"0.0000E+00")</f>
        <v>8.0302, -8.15, -1.3777E+02, 2.2518E+02, -1.3531E+02, 3.9016E+01, -4.4298E+00</v>
      </c>
      <c r="L58" s="15"/>
      <c r="U58" s="5" t="s">
        <v>108</v>
      </c>
      <c r="V58" s="5" t="s">
        <v>109</v>
      </c>
      <c r="W58" s="5" t="s">
        <v>110</v>
      </c>
    </row>
    <row r="59" spans="1:32" x14ac:dyDescent="0.2">
      <c r="A59" s="13" t="str">
        <f>TEXT($B$12*(COLUMN(J14)-2)*0.1,"0.0000") &amp; ", " &amp; TEXT(B10,"0.00") &amp; ", " &amp; TEXT(J45,"0.0000E+00") &amp; ", " &amp; TEXT(J44,"0.0000E+00") &amp; ", " &amp; TEXT(J43,"0.0000E+00") &amp; ", " &amp; TEXT(J42,"0.0000E+00") &amp; ", " &amp; TEXT(J41,"0.0000E+00")</f>
        <v>9.1774, -8.15, -7.8729E+02, 1.4664E+03, -1.0288E+03, 3.2350E+02, -3.8217E+01</v>
      </c>
      <c r="L59" s="15"/>
      <c r="U59" s="5">
        <f t="shared" ref="U59:U79" si="26">V36</f>
        <v>0</v>
      </c>
      <c r="V59" s="5">
        <v>0</v>
      </c>
      <c r="W59" s="5">
        <v>0</v>
      </c>
    </row>
    <row r="60" spans="1:32" x14ac:dyDescent="0.2">
      <c r="A60" s="13" t="str">
        <f>TEXT($B$12*(COLUMN(K14)-2)*0.1,"0.0000") &amp; ", " &amp; TEXT(B10,"0.00") &amp; ", " &amp; TEXT(K45,"0.0000E+00") &amp; ", " &amp; TEXT(K44,"0.0000E+00") &amp; ", " &amp; TEXT(K43,"0.0000E+00") &amp; ", " &amp; TEXT(K42,"0.0000E+00") &amp; ", " &amp; TEXT(K41,"0.0000E+00")</f>
        <v>10.3246, -8.15, -6.1682E+01, 4.9963E+01, -9.2552E+00, 0.0000E+00, 0.0000E+00</v>
      </c>
      <c r="L60" s="15"/>
      <c r="U60" s="5">
        <f t="shared" si="26"/>
        <v>0.05</v>
      </c>
      <c r="V60" s="5">
        <v>0.09</v>
      </c>
      <c r="W60" s="5">
        <v>0.05</v>
      </c>
    </row>
    <row r="61" spans="1:32" ht="13.5" thickBot="1" x14ac:dyDescent="0.25">
      <c r="A61" s="16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8"/>
      <c r="U61" s="5">
        <f t="shared" si="26"/>
        <v>0.1</v>
      </c>
      <c r="V61" s="5">
        <v>0.15</v>
      </c>
      <c r="W61" s="5">
        <v>0.09</v>
      </c>
    </row>
    <row r="62" spans="1:32" x14ac:dyDescent="0.2">
      <c r="A62" s="24" t="s">
        <v>11</v>
      </c>
      <c r="B62" s="10" t="s">
        <v>111</v>
      </c>
      <c r="C62" s="10" t="s">
        <v>112</v>
      </c>
      <c r="D62" s="10" t="s">
        <v>113</v>
      </c>
      <c r="E62" s="10" t="s">
        <v>114</v>
      </c>
      <c r="F62" s="10"/>
      <c r="G62" s="10"/>
      <c r="H62" s="10"/>
      <c r="I62" s="10"/>
      <c r="J62" s="10"/>
      <c r="K62" s="10"/>
      <c r="L62" s="11"/>
      <c r="U62" s="5">
        <f t="shared" si="26"/>
        <v>0.15</v>
      </c>
      <c r="V62" s="5">
        <v>0.21</v>
      </c>
      <c r="W62" s="5">
        <v>0.13</v>
      </c>
    </row>
    <row r="63" spans="1:32" x14ac:dyDescent="0.2">
      <c r="A63" s="13">
        <f>A18</f>
        <v>0</v>
      </c>
      <c r="B63" s="5">
        <f>$B$14*V59</f>
        <v>0</v>
      </c>
      <c r="C63" s="5">
        <f>$B$14*W59</f>
        <v>0</v>
      </c>
      <c r="D63" s="5">
        <f>AVERAGE(B63:C63)</f>
        <v>0</v>
      </c>
      <c r="E63" s="5">
        <f>D63*A63</f>
        <v>0</v>
      </c>
      <c r="L63" s="15"/>
      <c r="U63" s="5">
        <f t="shared" si="26"/>
        <v>0.2</v>
      </c>
      <c r="V63" s="5">
        <v>0.27500000000000002</v>
      </c>
      <c r="W63" s="5">
        <v>0.16500000000000001</v>
      </c>
    </row>
    <row r="64" spans="1:32" x14ac:dyDescent="0.2">
      <c r="A64" s="13">
        <f t="shared" ref="A64:A83" si="27">A19</f>
        <v>0.125</v>
      </c>
      <c r="B64" s="5">
        <f t="shared" ref="B64:C79" si="28">$B$14*V60</f>
        <v>0.60045652173913056</v>
      </c>
      <c r="C64" s="5">
        <f t="shared" si="28"/>
        <v>0.33358695652173925</v>
      </c>
      <c r="D64" s="5">
        <f t="shared" ref="D64:D83" si="29">AVERAGE(B64:C64)</f>
        <v>0.46702173913043488</v>
      </c>
      <c r="E64" s="5">
        <f t="shared" ref="E64:E83" si="30">D64*A64</f>
        <v>5.837771739130436E-2</v>
      </c>
      <c r="L64" s="15"/>
      <c r="U64" s="5">
        <f t="shared" si="26"/>
        <v>0.25</v>
      </c>
      <c r="V64" s="5">
        <v>0.32500000000000001</v>
      </c>
      <c r="W64" s="5">
        <v>0.21</v>
      </c>
    </row>
    <row r="65" spans="1:23" x14ac:dyDescent="0.2">
      <c r="A65" s="13">
        <f t="shared" si="27"/>
        <v>0.25</v>
      </c>
      <c r="B65" s="5">
        <f t="shared" si="28"/>
        <v>1.0007608695652177</v>
      </c>
      <c r="C65" s="5">
        <f t="shared" si="28"/>
        <v>0.60045652173913056</v>
      </c>
      <c r="D65" s="5">
        <f t="shared" si="29"/>
        <v>0.80060869565217407</v>
      </c>
      <c r="E65" s="5">
        <f t="shared" si="30"/>
        <v>0.20015217391304352</v>
      </c>
      <c r="L65" s="15"/>
      <c r="U65" s="5">
        <f t="shared" si="26"/>
        <v>0.3</v>
      </c>
      <c r="V65" s="5">
        <v>0.38</v>
      </c>
      <c r="W65" s="5">
        <v>0.26</v>
      </c>
    </row>
    <row r="66" spans="1:23" x14ac:dyDescent="0.2">
      <c r="A66" s="13">
        <f t="shared" si="27"/>
        <v>0.375</v>
      </c>
      <c r="B66" s="5">
        <f t="shared" si="28"/>
        <v>1.4010652173913047</v>
      </c>
      <c r="C66" s="5">
        <f t="shared" si="28"/>
        <v>0.86732608695652202</v>
      </c>
      <c r="D66" s="5">
        <f t="shared" si="29"/>
        <v>1.1341956521739134</v>
      </c>
      <c r="E66" s="5">
        <f t="shared" si="30"/>
        <v>0.42532336956521755</v>
      </c>
      <c r="L66" s="15"/>
      <c r="U66" s="5">
        <f t="shared" si="26"/>
        <v>0.35</v>
      </c>
      <c r="V66" s="5">
        <v>0.43</v>
      </c>
      <c r="W66" s="5">
        <v>0.3</v>
      </c>
    </row>
    <row r="67" spans="1:23" x14ac:dyDescent="0.2">
      <c r="A67" s="13">
        <f t="shared" si="27"/>
        <v>0.5</v>
      </c>
      <c r="B67" s="5">
        <f t="shared" si="28"/>
        <v>1.8347282608695659</v>
      </c>
      <c r="C67" s="5">
        <f t="shared" si="28"/>
        <v>1.1008369565217395</v>
      </c>
      <c r="D67" s="5">
        <f t="shared" si="29"/>
        <v>1.4677826086956527</v>
      </c>
      <c r="E67" s="5">
        <f t="shared" si="30"/>
        <v>0.73389130434782635</v>
      </c>
      <c r="L67" s="15"/>
      <c r="U67" s="5">
        <f t="shared" si="26"/>
        <v>0.4</v>
      </c>
      <c r="V67" s="5">
        <v>0.49</v>
      </c>
      <c r="W67" s="5">
        <v>0.35</v>
      </c>
    </row>
    <row r="68" spans="1:23" x14ac:dyDescent="0.2">
      <c r="A68" s="13">
        <f t="shared" si="27"/>
        <v>0.625</v>
      </c>
      <c r="B68" s="5">
        <f t="shared" si="28"/>
        <v>2.1683152173913052</v>
      </c>
      <c r="C68" s="5">
        <f t="shared" si="28"/>
        <v>1.4010652173913047</v>
      </c>
      <c r="D68" s="5">
        <f t="shared" si="29"/>
        <v>1.7846902173913048</v>
      </c>
      <c r="E68" s="5">
        <f t="shared" si="30"/>
        <v>1.1154313858695655</v>
      </c>
      <c r="L68" s="15"/>
      <c r="U68" s="5">
        <f t="shared" si="26"/>
        <v>0.45</v>
      </c>
      <c r="V68" s="5">
        <v>0.54</v>
      </c>
      <c r="W68" s="5">
        <v>0.4</v>
      </c>
    </row>
    <row r="69" spans="1:23" x14ac:dyDescent="0.2">
      <c r="A69" s="13">
        <f t="shared" si="27"/>
        <v>0.75</v>
      </c>
      <c r="B69" s="5">
        <f t="shared" si="28"/>
        <v>2.5352608695652181</v>
      </c>
      <c r="C69" s="5">
        <f t="shared" si="28"/>
        <v>1.734652173913044</v>
      </c>
      <c r="D69" s="5">
        <f t="shared" si="29"/>
        <v>2.1349565217391309</v>
      </c>
      <c r="E69" s="5">
        <f t="shared" si="30"/>
        <v>1.6012173913043481</v>
      </c>
      <c r="L69" s="15"/>
      <c r="U69" s="5">
        <f t="shared" si="26"/>
        <v>0.5</v>
      </c>
      <c r="V69" s="5">
        <v>0.58499999999999996</v>
      </c>
      <c r="W69" s="5">
        <v>0.45</v>
      </c>
    </row>
    <row r="70" spans="1:23" x14ac:dyDescent="0.2">
      <c r="A70" s="13">
        <f t="shared" si="27"/>
        <v>0.875</v>
      </c>
      <c r="B70" s="5">
        <f t="shared" si="28"/>
        <v>2.8688478260869572</v>
      </c>
      <c r="C70" s="5">
        <f t="shared" si="28"/>
        <v>2.0015217391304354</v>
      </c>
      <c r="D70" s="5">
        <f t="shared" si="29"/>
        <v>2.4351847826086965</v>
      </c>
      <c r="E70" s="5">
        <f t="shared" si="30"/>
        <v>2.1307866847826094</v>
      </c>
      <c r="L70" s="15"/>
      <c r="U70" s="5">
        <f t="shared" si="26"/>
        <v>0.55000000000000004</v>
      </c>
      <c r="V70" s="5">
        <v>0.63</v>
      </c>
      <c r="W70" s="5">
        <v>0.5</v>
      </c>
    </row>
    <row r="71" spans="1:23" x14ac:dyDescent="0.2">
      <c r="A71" s="13">
        <f t="shared" si="27"/>
        <v>1</v>
      </c>
      <c r="B71" s="5">
        <f t="shared" si="28"/>
        <v>3.2691521739130445</v>
      </c>
      <c r="C71" s="5">
        <f t="shared" si="28"/>
        <v>2.3351086956521745</v>
      </c>
      <c r="D71" s="5">
        <f t="shared" si="29"/>
        <v>2.8021304347826095</v>
      </c>
      <c r="E71" s="5">
        <f t="shared" si="30"/>
        <v>2.8021304347826095</v>
      </c>
      <c r="L71" s="15"/>
      <c r="U71" s="5">
        <f t="shared" si="26"/>
        <v>0.6</v>
      </c>
      <c r="V71" s="5">
        <v>0.68</v>
      </c>
      <c r="W71" s="5">
        <v>0.55000000000000004</v>
      </c>
    </row>
    <row r="72" spans="1:23" x14ac:dyDescent="0.2">
      <c r="A72" s="13">
        <f t="shared" si="27"/>
        <v>1.125</v>
      </c>
      <c r="B72" s="5">
        <f t="shared" si="28"/>
        <v>3.602739130434784</v>
      </c>
      <c r="C72" s="5">
        <f t="shared" si="28"/>
        <v>2.668695652173914</v>
      </c>
      <c r="D72" s="5">
        <f t="shared" si="29"/>
        <v>3.135717391304349</v>
      </c>
      <c r="E72" s="5">
        <f t="shared" si="30"/>
        <v>3.5276820652173928</v>
      </c>
      <c r="L72" s="15"/>
      <c r="U72" s="5">
        <f t="shared" si="26"/>
        <v>0.65</v>
      </c>
      <c r="V72" s="5">
        <v>0.71499999999999997</v>
      </c>
      <c r="W72" s="5">
        <v>0.6</v>
      </c>
    </row>
    <row r="73" spans="1:23" x14ac:dyDescent="0.2">
      <c r="A73" s="13">
        <f t="shared" si="27"/>
        <v>1.25</v>
      </c>
      <c r="B73" s="5">
        <f t="shared" si="28"/>
        <v>3.9029673913043488</v>
      </c>
      <c r="C73" s="5">
        <f t="shared" si="28"/>
        <v>3.0022826086956531</v>
      </c>
      <c r="D73" s="5">
        <f t="shared" si="29"/>
        <v>3.4526250000000012</v>
      </c>
      <c r="E73" s="5">
        <f t="shared" si="30"/>
        <v>4.3157812500000015</v>
      </c>
      <c r="L73" s="15"/>
      <c r="U73" s="5">
        <f t="shared" si="26"/>
        <v>0.7</v>
      </c>
      <c r="V73" s="5">
        <v>0.76</v>
      </c>
      <c r="W73" s="5">
        <v>0.65</v>
      </c>
    </row>
    <row r="74" spans="1:23" x14ac:dyDescent="0.2">
      <c r="A74" s="13">
        <f t="shared" si="27"/>
        <v>1.375</v>
      </c>
      <c r="B74" s="5">
        <f t="shared" si="28"/>
        <v>4.203195652173914</v>
      </c>
      <c r="C74" s="5">
        <f t="shared" si="28"/>
        <v>3.3358695652173922</v>
      </c>
      <c r="D74" s="5">
        <f t="shared" si="29"/>
        <v>3.7695326086956529</v>
      </c>
      <c r="E74" s="5">
        <f t="shared" si="30"/>
        <v>5.1831073369565228</v>
      </c>
      <c r="L74" s="15"/>
      <c r="U74" s="5">
        <f t="shared" si="26"/>
        <v>0.75</v>
      </c>
      <c r="V74" s="5">
        <v>0.8</v>
      </c>
      <c r="W74" s="5">
        <v>0.7</v>
      </c>
    </row>
    <row r="75" spans="1:23" x14ac:dyDescent="0.2">
      <c r="A75" s="13">
        <f t="shared" si="27"/>
        <v>1.5</v>
      </c>
      <c r="B75" s="5">
        <f t="shared" si="28"/>
        <v>4.5367826086956535</v>
      </c>
      <c r="C75" s="5">
        <f t="shared" si="28"/>
        <v>3.6694565217391317</v>
      </c>
      <c r="D75" s="5">
        <f t="shared" si="29"/>
        <v>4.1031195652173924</v>
      </c>
      <c r="E75" s="5">
        <f t="shared" si="30"/>
        <v>6.1546793478260886</v>
      </c>
      <c r="L75" s="15"/>
      <c r="U75" s="5">
        <f t="shared" si="26"/>
        <v>0.8</v>
      </c>
      <c r="V75" s="5">
        <v>0.84499999999999997</v>
      </c>
      <c r="W75" s="5">
        <v>0.755</v>
      </c>
    </row>
    <row r="76" spans="1:23" x14ac:dyDescent="0.2">
      <c r="A76" s="13">
        <f t="shared" si="27"/>
        <v>1.625</v>
      </c>
      <c r="B76" s="5">
        <f t="shared" si="28"/>
        <v>4.7702934782608706</v>
      </c>
      <c r="C76" s="5">
        <f t="shared" si="28"/>
        <v>4.0030434782608708</v>
      </c>
      <c r="D76" s="5">
        <f t="shared" si="29"/>
        <v>4.3866684782608711</v>
      </c>
      <c r="E76" s="5">
        <f t="shared" si="30"/>
        <v>7.1283362771739158</v>
      </c>
      <c r="L76" s="15"/>
      <c r="U76" s="5">
        <f t="shared" si="26"/>
        <v>0.85</v>
      </c>
      <c r="V76" s="5">
        <v>0.88</v>
      </c>
      <c r="W76" s="5">
        <v>0.81</v>
      </c>
    </row>
    <row r="77" spans="1:23" x14ac:dyDescent="0.2">
      <c r="A77" s="13">
        <f t="shared" si="27"/>
        <v>1.75</v>
      </c>
      <c r="B77" s="5">
        <f t="shared" si="28"/>
        <v>5.0705217391304362</v>
      </c>
      <c r="C77" s="5">
        <f t="shared" si="28"/>
        <v>4.3366304347826103</v>
      </c>
      <c r="D77" s="5">
        <f t="shared" si="29"/>
        <v>4.7035760869565237</v>
      </c>
      <c r="E77" s="5">
        <f t="shared" si="30"/>
        <v>8.2312581521739165</v>
      </c>
      <c r="L77" s="15"/>
      <c r="U77" s="5">
        <f t="shared" si="26"/>
        <v>0.9</v>
      </c>
      <c r="V77" s="5">
        <v>0.91500000000000004</v>
      </c>
      <c r="W77" s="5">
        <v>0.86499999999999999</v>
      </c>
    </row>
    <row r="78" spans="1:23" x14ac:dyDescent="0.2">
      <c r="A78" s="13">
        <f t="shared" si="27"/>
        <v>1.875</v>
      </c>
      <c r="B78" s="5">
        <f t="shared" si="28"/>
        <v>5.337391304347828</v>
      </c>
      <c r="C78" s="5">
        <f t="shared" si="28"/>
        <v>4.670217391304349</v>
      </c>
      <c r="D78" s="5">
        <f t="shared" si="29"/>
        <v>5.0038043478260885</v>
      </c>
      <c r="E78" s="5">
        <f t="shared" si="30"/>
        <v>9.3821331521739157</v>
      </c>
      <c r="L78" s="15"/>
      <c r="U78" s="5">
        <f t="shared" si="26"/>
        <v>0.95</v>
      </c>
      <c r="V78" s="5">
        <v>0.95499999999999996</v>
      </c>
      <c r="W78" s="5">
        <v>0.91</v>
      </c>
    </row>
    <row r="79" spans="1:23" x14ac:dyDescent="0.2">
      <c r="A79" s="13">
        <f t="shared" si="27"/>
        <v>2</v>
      </c>
      <c r="B79" s="5">
        <f t="shared" si="28"/>
        <v>5.6376195652173928</v>
      </c>
      <c r="C79" s="5">
        <f t="shared" si="28"/>
        <v>5.0371630434782624</v>
      </c>
      <c r="D79" s="5">
        <f t="shared" si="29"/>
        <v>5.3373913043478272</v>
      </c>
      <c r="E79" s="5">
        <f t="shared" si="30"/>
        <v>10.674782608695654</v>
      </c>
      <c r="L79" s="15"/>
      <c r="U79" s="5">
        <f t="shared" si="26"/>
        <v>1</v>
      </c>
      <c r="V79" s="5">
        <v>1</v>
      </c>
      <c r="W79" s="5">
        <v>0.97</v>
      </c>
    </row>
    <row r="80" spans="1:23" x14ac:dyDescent="0.2">
      <c r="A80" s="13">
        <f t="shared" si="27"/>
        <v>2.125</v>
      </c>
      <c r="B80" s="5">
        <f t="shared" ref="B80:C83" si="31">$B$14*V76</f>
        <v>5.8711304347826099</v>
      </c>
      <c r="C80" s="5">
        <f t="shared" si="31"/>
        <v>5.4041086956521758</v>
      </c>
      <c r="D80" s="5">
        <f t="shared" si="29"/>
        <v>5.6376195652173928</v>
      </c>
      <c r="E80" s="5">
        <f t="shared" si="30"/>
        <v>11.97994157608696</v>
      </c>
      <c r="L80" s="15"/>
    </row>
    <row r="81" spans="1:12" x14ac:dyDescent="0.2">
      <c r="A81" s="13">
        <f t="shared" si="27"/>
        <v>2.25</v>
      </c>
      <c r="B81" s="5">
        <f t="shared" si="31"/>
        <v>6.1046413043478278</v>
      </c>
      <c r="C81" s="5">
        <f t="shared" si="31"/>
        <v>5.7710543478260883</v>
      </c>
      <c r="D81" s="5">
        <f t="shared" si="29"/>
        <v>5.9378478260869585</v>
      </c>
      <c r="E81" s="5">
        <f t="shared" si="30"/>
        <v>13.360157608695657</v>
      </c>
      <c r="L81" s="15"/>
    </row>
    <row r="82" spans="1:12" x14ac:dyDescent="0.2">
      <c r="A82" s="13">
        <f t="shared" si="27"/>
        <v>2.375</v>
      </c>
      <c r="B82" s="5">
        <f t="shared" si="31"/>
        <v>6.3715108695652187</v>
      </c>
      <c r="C82" s="5">
        <f t="shared" si="31"/>
        <v>6.0712826086956539</v>
      </c>
      <c r="D82" s="5">
        <f t="shared" si="29"/>
        <v>6.2213967391304363</v>
      </c>
      <c r="E82" s="5">
        <f t="shared" si="30"/>
        <v>14.775817255434786</v>
      </c>
      <c r="L82" s="15"/>
    </row>
    <row r="83" spans="1:12" x14ac:dyDescent="0.2">
      <c r="A83" s="13">
        <f t="shared" si="27"/>
        <v>2.5</v>
      </c>
      <c r="B83" s="5">
        <f t="shared" si="31"/>
        <v>6.6717391304347844</v>
      </c>
      <c r="C83" s="5">
        <f t="shared" si="31"/>
        <v>6.4715869565217403</v>
      </c>
      <c r="D83" s="5">
        <f t="shared" si="29"/>
        <v>6.5716630434782619</v>
      </c>
      <c r="E83" s="5">
        <f t="shared" si="30"/>
        <v>16.429157608695654</v>
      </c>
      <c r="L83" s="15"/>
    </row>
    <row r="84" spans="1:12" x14ac:dyDescent="0.2">
      <c r="A84" s="13"/>
      <c r="L84" s="15"/>
    </row>
    <row r="85" spans="1:12" ht="13.5" thickBot="1" x14ac:dyDescent="0.25">
      <c r="A85" s="16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8"/>
    </row>
    <row r="86" spans="1:12" x14ac:dyDescent="0.2">
      <c r="A86" s="24" t="s">
        <v>115</v>
      </c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1"/>
    </row>
    <row r="87" spans="1:12" x14ac:dyDescent="0.2">
      <c r="A87" s="13" t="s">
        <v>116</v>
      </c>
      <c r="B87" s="5">
        <f>B17</f>
        <v>0</v>
      </c>
      <c r="C87" s="5">
        <f t="shared" ref="C87:K87" si="32">C17</f>
        <v>1.1471739130434784</v>
      </c>
      <c r="D87" s="5">
        <f t="shared" si="32"/>
        <v>2.2943478260869568</v>
      </c>
      <c r="E87" s="5">
        <f t="shared" si="32"/>
        <v>3.4415217391304354</v>
      </c>
      <c r="F87" s="5">
        <f t="shared" si="32"/>
        <v>4.5886956521739135</v>
      </c>
      <c r="G87" s="5">
        <f t="shared" si="32"/>
        <v>5.7358695652173921</v>
      </c>
      <c r="H87" s="5">
        <f t="shared" si="32"/>
        <v>6.8830434782608707</v>
      </c>
      <c r="I87" s="5">
        <f t="shared" si="32"/>
        <v>8.0302173913043493</v>
      </c>
      <c r="J87" s="5">
        <f t="shared" si="32"/>
        <v>9.177391304347827</v>
      </c>
      <c r="K87" s="5">
        <f t="shared" si="32"/>
        <v>10.324565217391307</v>
      </c>
      <c r="L87" s="15"/>
    </row>
    <row r="88" spans="1:12" x14ac:dyDescent="0.2">
      <c r="A88" s="13">
        <v>0</v>
      </c>
      <c r="B88" s="5">
        <f t="shared" ref="B88:K103" si="33">B$41*$A88^4+B$42*$A88^3+B$43*$A88^2+B$44*$A88^1+B$45</f>
        <v>0.39487525871015094</v>
      </c>
      <c r="C88" s="5">
        <f t="shared" si="33"/>
        <v>-5.8253706098895766</v>
      </c>
      <c r="D88" s="5">
        <f t="shared" si="33"/>
        <v>-14.665549033263595</v>
      </c>
      <c r="E88" s="5">
        <f t="shared" si="33"/>
        <v>-21.050894285298735</v>
      </c>
      <c r="F88" s="5">
        <f t="shared" si="33"/>
        <v>-36.757675598040805</v>
      </c>
      <c r="G88" s="5">
        <f t="shared" si="33"/>
        <v>-78.499977857681529</v>
      </c>
      <c r="H88" s="5">
        <f t="shared" si="33"/>
        <v>-71.105516411750955</v>
      </c>
      <c r="I88" s="5">
        <f t="shared" si="33"/>
        <v>-137.77222758336126</v>
      </c>
      <c r="J88" s="5">
        <f t="shared" si="33"/>
        <v>-787.29040642737993</v>
      </c>
      <c r="K88" s="5">
        <f t="shared" si="33"/>
        <v>-61.682041587901907</v>
      </c>
      <c r="L88" s="15"/>
    </row>
    <row r="89" spans="1:12" x14ac:dyDescent="0.2">
      <c r="A89" s="13">
        <f t="shared" ref="A89:A124" si="34">A88+0.05</f>
        <v>0.05</v>
      </c>
      <c r="B89" s="5">
        <f t="shared" si="33"/>
        <v>3.3023950127256878</v>
      </c>
      <c r="C89" s="5">
        <f t="shared" si="33"/>
        <v>-3.2365180848502773</v>
      </c>
      <c r="D89" s="5">
        <f t="shared" si="33"/>
        <v>-12.180290407045202</v>
      </c>
      <c r="E89" s="5">
        <f t="shared" si="33"/>
        <v>-18.508402079854207</v>
      </c>
      <c r="F89" s="5">
        <f t="shared" si="33"/>
        <v>-33.072589580218747</v>
      </c>
      <c r="G89" s="5">
        <f t="shared" si="33"/>
        <v>-70.74946284717214</v>
      </c>
      <c r="H89" s="5">
        <f t="shared" si="33"/>
        <v>-65.338681008717089</v>
      </c>
      <c r="I89" s="5">
        <f t="shared" si="33"/>
        <v>-126.84684555896041</v>
      </c>
      <c r="J89" s="5">
        <f t="shared" si="33"/>
        <v>-716.49993416752545</v>
      </c>
      <c r="K89" s="5">
        <f t="shared" si="33"/>
        <v>-59.207047258979401</v>
      </c>
      <c r="L89" s="15"/>
    </row>
    <row r="90" spans="1:12" x14ac:dyDescent="0.2">
      <c r="A90" s="13">
        <f t="shared" si="34"/>
        <v>0.1</v>
      </c>
      <c r="B90" s="5">
        <f t="shared" si="33"/>
        <v>6.0596168179669281</v>
      </c>
      <c r="C90" s="5">
        <f t="shared" si="33"/>
        <v>-0.74534404698882195</v>
      </c>
      <c r="D90" s="5">
        <f t="shared" si="33"/>
        <v>-9.7531709604651979</v>
      </c>
      <c r="E90" s="5">
        <f t="shared" si="33"/>
        <v>-16.032705394488048</v>
      </c>
      <c r="F90" s="5">
        <f t="shared" si="33"/>
        <v>-29.557919050178249</v>
      </c>
      <c r="G90" s="5">
        <f t="shared" si="33"/>
        <v>-63.515339799331464</v>
      </c>
      <c r="H90" s="5">
        <f t="shared" si="33"/>
        <v>-59.878407425715707</v>
      </c>
      <c r="I90" s="5">
        <f t="shared" si="33"/>
        <v>-116.56911474610777</v>
      </c>
      <c r="J90" s="5">
        <f t="shared" si="33"/>
        <v>-650.61411715427812</v>
      </c>
      <c r="K90" s="5">
        <f t="shared" si="33"/>
        <v>-56.778328922495461</v>
      </c>
      <c r="L90" s="15"/>
    </row>
    <row r="91" spans="1:12" x14ac:dyDescent="0.2">
      <c r="A91" s="13">
        <f t="shared" si="34"/>
        <v>0.15000000000000002</v>
      </c>
      <c r="B91" s="5">
        <f t="shared" si="33"/>
        <v>8.6743538277336008</v>
      </c>
      <c r="C91" s="5">
        <f t="shared" si="33"/>
        <v>1.6517409891293502</v>
      </c>
      <c r="D91" s="5">
        <f t="shared" si="33"/>
        <v>-7.384611344808091</v>
      </c>
      <c r="E91" s="5">
        <f t="shared" si="33"/>
        <v>-13.623234110344878</v>
      </c>
      <c r="F91" s="5">
        <f t="shared" si="33"/>
        <v>-26.206682634870567</v>
      </c>
      <c r="G91" s="5">
        <f t="shared" si="33"/>
        <v>-56.771169595622084</v>
      </c>
      <c r="H91" s="5">
        <f t="shared" si="33"/>
        <v>-54.712343292747562</v>
      </c>
      <c r="I91" s="5">
        <f t="shared" si="33"/>
        <v>-106.91076975423931</v>
      </c>
      <c r="J91" s="5">
        <f t="shared" si="33"/>
        <v>-589.39893255209927</v>
      </c>
      <c r="K91" s="5">
        <f t="shared" si="33"/>
        <v>-54.395886578450082</v>
      </c>
      <c r="L91" s="15"/>
    </row>
    <row r="92" spans="1:12" x14ac:dyDescent="0.2">
      <c r="A92" s="13">
        <f t="shared" si="34"/>
        <v>0.2</v>
      </c>
      <c r="B92" s="5">
        <f t="shared" si="33"/>
        <v>11.154146871405874</v>
      </c>
      <c r="C92" s="5">
        <f t="shared" si="33"/>
        <v>3.9582094290187229</v>
      </c>
      <c r="D92" s="5">
        <f t="shared" si="33"/>
        <v>-5.074979453514306</v>
      </c>
      <c r="E92" s="5">
        <f t="shared" si="33"/>
        <v>-11.279411525527456</v>
      </c>
      <c r="F92" s="5">
        <f t="shared" si="33"/>
        <v>-23.012089458021123</v>
      </c>
      <c r="G92" s="5">
        <f t="shared" si="33"/>
        <v>-50.491243330205045</v>
      </c>
      <c r="H92" s="5">
        <f t="shared" si="33"/>
        <v>-49.828408070817943</v>
      </c>
      <c r="I92" s="5">
        <f t="shared" si="33"/>
        <v>-97.844209668579822</v>
      </c>
      <c r="J92" s="5">
        <f t="shared" si="33"/>
        <v>-532.62609013930114</v>
      </c>
      <c r="K92" s="5">
        <f t="shared" si="33"/>
        <v>-52.059720226843268</v>
      </c>
      <c r="L92" s="15"/>
    </row>
    <row r="93" spans="1:12" x14ac:dyDescent="0.2">
      <c r="A93" s="13">
        <f t="shared" si="34"/>
        <v>0.25</v>
      </c>
      <c r="B93" s="5">
        <f t="shared" si="33"/>
        <v>13.506264454444377</v>
      </c>
      <c r="C93" s="5">
        <f t="shared" si="33"/>
        <v>6.1774165982737053</v>
      </c>
      <c r="D93" s="5">
        <f t="shared" si="33"/>
        <v>-2.8245904221801794</v>
      </c>
      <c r="E93" s="5">
        <f t="shared" si="33"/>
        <v>-9.0006543550966605</v>
      </c>
      <c r="F93" s="5">
        <f t="shared" si="33"/>
        <v>-19.967539140129464</v>
      </c>
      <c r="G93" s="5">
        <f t="shared" si="33"/>
        <v>-44.650582309939828</v>
      </c>
      <c r="H93" s="5">
        <f t="shared" si="33"/>
        <v>-45.214793051936667</v>
      </c>
      <c r="I93" s="5">
        <f t="shared" si="33"/>
        <v>-89.342498050142964</v>
      </c>
      <c r="J93" s="5">
        <f t="shared" si="33"/>
        <v>-480.07303230804717</v>
      </c>
      <c r="K93" s="5">
        <f t="shared" si="33"/>
        <v>-49.769829867675021</v>
      </c>
      <c r="L93" s="15"/>
    </row>
    <row r="94" spans="1:12" x14ac:dyDescent="0.2">
      <c r="A94" s="13">
        <f t="shared" si="34"/>
        <v>0.3</v>
      </c>
      <c r="B94" s="5">
        <f t="shared" si="33"/>
        <v>15.737702758390178</v>
      </c>
      <c r="C94" s="5">
        <f t="shared" si="33"/>
        <v>8.3126007425686321</v>
      </c>
      <c r="D94" s="5">
        <f t="shared" si="33"/>
        <v>-0.63370662855796311</v>
      </c>
      <c r="E94" s="5">
        <f t="shared" si="33"/>
        <v>-6.7863727310715038</v>
      </c>
      <c r="F94" s="5">
        <f t="shared" si="33"/>
        <v>-17.066621798469289</v>
      </c>
      <c r="G94" s="5">
        <f t="shared" si="33"/>
        <v>-39.224938054384388</v>
      </c>
      <c r="H94" s="5">
        <f t="shared" si="33"/>
        <v>-40.859961359118081</v>
      </c>
      <c r="I94" s="5">
        <f t="shared" si="33"/>
        <v>-81.379362935731265</v>
      </c>
      <c r="J94" s="5">
        <f t="shared" si="33"/>
        <v>-431.52293406435223</v>
      </c>
      <c r="K94" s="5">
        <f t="shared" si="33"/>
        <v>-47.526215500945334</v>
      </c>
      <c r="L94" s="15"/>
    </row>
    <row r="95" spans="1:12" x14ac:dyDescent="0.2">
      <c r="A95" s="13">
        <f t="shared" si="34"/>
        <v>0.35</v>
      </c>
      <c r="B95" s="5">
        <f t="shared" si="33"/>
        <v>17.855185640864793</v>
      </c>
      <c r="C95" s="5">
        <f t="shared" si="33"/>
        <v>10.366883027657762</v>
      </c>
      <c r="D95" s="5">
        <f t="shared" si="33"/>
        <v>1.4974623074441773</v>
      </c>
      <c r="E95" s="5">
        <f t="shared" si="33"/>
        <v>-4.6359702024291245</v>
      </c>
      <c r="F95" s="5">
        <f t="shared" si="33"/>
        <v>-14.303118047088439</v>
      </c>
      <c r="G95" s="5">
        <f t="shared" si="33"/>
        <v>-34.190792295795127</v>
      </c>
      <c r="H95" s="5">
        <f t="shared" si="33"/>
        <v>-36.752647946381082</v>
      </c>
      <c r="I95" s="5">
        <f t="shared" si="33"/>
        <v>-73.929196837936104</v>
      </c>
      <c r="J95" s="5">
        <f t="shared" si="33"/>
        <v>-386.76470302808224</v>
      </c>
      <c r="K95" s="5">
        <f t="shared" si="33"/>
        <v>-45.328877126654206</v>
      </c>
      <c r="L95" s="15"/>
    </row>
    <row r="96" spans="1:12" x14ac:dyDescent="0.2">
      <c r="A96" s="13">
        <f t="shared" si="34"/>
        <v>0.39999999999999997</v>
      </c>
      <c r="B96" s="5">
        <f t="shared" si="33"/>
        <v>19.865164635570192</v>
      </c>
      <c r="C96" s="5">
        <f t="shared" si="33"/>
        <v>12.343267539375274</v>
      </c>
      <c r="D96" s="5">
        <f t="shared" si="33"/>
        <v>3.5687595237621643</v>
      </c>
      <c r="E96" s="5">
        <f t="shared" si="33"/>
        <v>-2.5488437351047892</v>
      </c>
      <c r="F96" s="5">
        <f t="shared" si="33"/>
        <v>-11.670998996808905</v>
      </c>
      <c r="G96" s="5">
        <f t="shared" si="33"/>
        <v>-29.525356979126883</v>
      </c>
      <c r="H96" s="5">
        <f t="shared" si="33"/>
        <v>-32.881859598749081</v>
      </c>
      <c r="I96" s="5">
        <f t="shared" si="33"/>
        <v>-66.967056745137711</v>
      </c>
      <c r="J96" s="5">
        <f t="shared" si="33"/>
        <v>-345.59297943295405</v>
      </c>
      <c r="K96" s="5">
        <f t="shared" si="33"/>
        <v>-43.177814744801651</v>
      </c>
      <c r="L96" s="15"/>
    </row>
    <row r="97" spans="1:12" x14ac:dyDescent="0.2">
      <c r="A97" s="13">
        <f t="shared" si="34"/>
        <v>0.44999999999999996</v>
      </c>
      <c r="B97" s="5">
        <f t="shared" si="33"/>
        <v>21.773818952288792</v>
      </c>
      <c r="C97" s="5">
        <f t="shared" si="33"/>
        <v>14.24464128363528</v>
      </c>
      <c r="D97" s="5">
        <f t="shared" si="33"/>
        <v>5.5800809161760014</v>
      </c>
      <c r="E97" s="5">
        <f t="shared" si="33"/>
        <v>-0.52438371199189859</v>
      </c>
      <c r="F97" s="5">
        <f t="shared" si="33"/>
        <v>-9.1644262552268181</v>
      </c>
      <c r="G97" s="5">
        <f t="shared" si="33"/>
        <v>-25.206574262032994</v>
      </c>
      <c r="H97" s="5">
        <f t="shared" si="33"/>
        <v>-29.236874932250046</v>
      </c>
      <c r="I97" s="5">
        <f t="shared" si="33"/>
        <v>-60.468664121505228</v>
      </c>
      <c r="J97" s="5">
        <f t="shared" si="33"/>
        <v>-307.80813612653628</v>
      </c>
      <c r="K97" s="5">
        <f t="shared" si="33"/>
        <v>-41.073028355387656</v>
      </c>
      <c r="L97" s="15"/>
    </row>
    <row r="98" spans="1:12" x14ac:dyDescent="0.2">
      <c r="A98" s="13">
        <f t="shared" si="34"/>
        <v>0.49999999999999994</v>
      </c>
      <c r="B98" s="5">
        <f t="shared" si="33"/>
        <v>23.587055476883457</v>
      </c>
      <c r="C98" s="5">
        <f t="shared" si="33"/>
        <v>16.073774186431805</v>
      </c>
      <c r="D98" s="5">
        <f t="shared" si="33"/>
        <v>7.5313751383097838</v>
      </c>
      <c r="E98" s="5">
        <f t="shared" si="33"/>
        <v>1.4380260670580185</v>
      </c>
      <c r="F98" s="5">
        <f t="shared" si="33"/>
        <v>-6.7777519267124511</v>
      </c>
      <c r="G98" s="5">
        <f t="shared" si="33"/>
        <v>-21.213116514865213</v>
      </c>
      <c r="H98" s="5">
        <f t="shared" si="33"/>
        <v>-25.807244393916456</v>
      </c>
      <c r="I98" s="5">
        <f t="shared" si="33"/>
        <v>-54.410404906996604</v>
      </c>
      <c r="J98" s="5">
        <f t="shared" si="33"/>
        <v>-273.21627857024816</v>
      </c>
      <c r="K98" s="5">
        <f t="shared" si="33"/>
        <v>-39.014517958412227</v>
      </c>
      <c r="L98" s="15"/>
    </row>
    <row r="99" spans="1:12" x14ac:dyDescent="0.2">
      <c r="A99" s="13">
        <f t="shared" si="34"/>
        <v>0.54999999999999993</v>
      </c>
      <c r="B99" s="5">
        <f t="shared" si="33"/>
        <v>25.310508771297492</v>
      </c>
      <c r="C99" s="5">
        <f t="shared" si="33"/>
        <v>17.833319093838817</v>
      </c>
      <c r="D99" s="5">
        <f t="shared" si="33"/>
        <v>9.4226436016316875</v>
      </c>
      <c r="E99" s="5">
        <f t="shared" si="33"/>
        <v>3.3390083852353136</v>
      </c>
      <c r="F99" s="5">
        <f t="shared" si="33"/>
        <v>-4.5055186124102207</v>
      </c>
      <c r="G99" s="5">
        <f t="shared" si="33"/>
        <v>-17.524386320673742</v>
      </c>
      <c r="H99" s="5">
        <f t="shared" si="33"/>
        <v>-22.582790261785348</v>
      </c>
      <c r="I99" s="5">
        <f t="shared" si="33"/>
        <v>-48.769329517358671</v>
      </c>
      <c r="J99" s="5">
        <f t="shared" si="33"/>
        <v>-241.62924483936013</v>
      </c>
      <c r="K99" s="5">
        <f t="shared" si="33"/>
        <v>-37.002283553875358</v>
      </c>
      <c r="L99" s="15"/>
    </row>
    <row r="100" spans="1:12" x14ac:dyDescent="0.2">
      <c r="A100" s="13">
        <f t="shared" si="34"/>
        <v>0.6</v>
      </c>
      <c r="B100" s="5">
        <f t="shared" si="33"/>
        <v>26.94954107355467</v>
      </c>
      <c r="C100" s="5">
        <f t="shared" si="33"/>
        <v>19.525811772010179</v>
      </c>
      <c r="D100" s="5">
        <f t="shared" si="33"/>
        <v>11.25394047545398</v>
      </c>
      <c r="E100" s="5">
        <f t="shared" si="33"/>
        <v>5.179192608772194</v>
      </c>
      <c r="F100" s="5">
        <f t="shared" si="33"/>
        <v>-2.3424594102386891</v>
      </c>
      <c r="G100" s="5">
        <f t="shared" si="33"/>
        <v>-14.120516475207282</v>
      </c>
      <c r="H100" s="5">
        <f t="shared" si="33"/>
        <v>-19.55360664489826</v>
      </c>
      <c r="I100" s="5">
        <f t="shared" si="33"/>
        <v>-43.523152844127139</v>
      </c>
      <c r="J100" s="5">
        <f t="shared" si="33"/>
        <v>-212.86460562299419</v>
      </c>
      <c r="K100" s="5">
        <f t="shared" si="33"/>
        <v>-35.036325141777048</v>
      </c>
      <c r="L100" s="15"/>
    </row>
    <row r="101" spans="1:12" x14ac:dyDescent="0.2">
      <c r="A101" s="13">
        <f t="shared" si="34"/>
        <v>0.65</v>
      </c>
      <c r="B101" s="5">
        <f t="shared" si="33"/>
        <v>28.509242297759187</v>
      </c>
      <c r="C101" s="5">
        <f t="shared" si="33"/>
        <v>21.153670907179716</v>
      </c>
      <c r="D101" s="5">
        <f t="shared" si="33"/>
        <v>13.025372686933018</v>
      </c>
      <c r="E101" s="5">
        <f t="shared" si="33"/>
        <v>6.9592146869427545</v>
      </c>
      <c r="F101" s="5">
        <f t="shared" si="33"/>
        <v>-0.28349791489057452</v>
      </c>
      <c r="G101" s="5">
        <f t="shared" si="33"/>
        <v>-10.982369986912957</v>
      </c>
      <c r="H101" s="5">
        <f t="shared" si="33"/>
        <v>-16.710059483301308</v>
      </c>
      <c r="I101" s="5">
        <f t="shared" si="33"/>
        <v>-38.650254254626532</v>
      </c>
      <c r="J101" s="5">
        <f t="shared" si="33"/>
        <v>-186.74566422412329</v>
      </c>
      <c r="K101" s="5">
        <f t="shared" si="33"/>
        <v>-33.116642722117305</v>
      </c>
      <c r="L101" s="15"/>
    </row>
    <row r="102" spans="1:12" x14ac:dyDescent="0.2">
      <c r="A102" s="13">
        <f t="shared" si="34"/>
        <v>0.70000000000000007</v>
      </c>
      <c r="B102" s="5">
        <f t="shared" si="33"/>
        <v>29.994430034095704</v>
      </c>
      <c r="C102" s="5">
        <f t="shared" si="33"/>
        <v>22.719198105661135</v>
      </c>
      <c r="D102" s="5">
        <f t="shared" si="33"/>
        <v>14.73709992106923</v>
      </c>
      <c r="E102" s="5">
        <f t="shared" si="33"/>
        <v>8.6797171520629526</v>
      </c>
      <c r="F102" s="5">
        <f t="shared" si="33"/>
        <v>1.6762517821672844</v>
      </c>
      <c r="G102" s="5">
        <f t="shared" si="33"/>
        <v>-8.0915400769363401</v>
      </c>
      <c r="H102" s="5">
        <f t="shared" si="33"/>
        <v>-14.0427865480451</v>
      </c>
      <c r="I102" s="5">
        <f t="shared" si="33"/>
        <v>-34.129677591970278</v>
      </c>
      <c r="J102" s="5">
        <f t="shared" si="33"/>
        <v>-163.10145655957172</v>
      </c>
      <c r="K102" s="5">
        <f t="shared" si="33"/>
        <v>-31.243236294896121</v>
      </c>
      <c r="L102" s="15"/>
    </row>
    <row r="103" spans="1:12" x14ac:dyDescent="0.2">
      <c r="A103" s="13">
        <f t="shared" si="34"/>
        <v>0.75000000000000011</v>
      </c>
      <c r="B103" s="5">
        <f t="shared" si="33"/>
        <v>31.409649548829329</v>
      </c>
      <c r="C103" s="5">
        <f t="shared" si="33"/>
        <v>24.2245778938481</v>
      </c>
      <c r="D103" s="5">
        <f t="shared" si="33"/>
        <v>16.389334620707139</v>
      </c>
      <c r="E103" s="5">
        <f t="shared" si="33"/>
        <v>10.341349119490612</v>
      </c>
      <c r="F103" s="5">
        <f t="shared" si="33"/>
        <v>3.5414850926938755</v>
      </c>
      <c r="G103" s="5">
        <f t="shared" si="33"/>
        <v>-5.4303501791214757</v>
      </c>
      <c r="H103" s="5">
        <f t="shared" si="33"/>
        <v>-11.542697441184814</v>
      </c>
      <c r="I103" s="5">
        <f t="shared" si="33"/>
        <v>-29.941131175060633</v>
      </c>
      <c r="J103" s="5">
        <f t="shared" si="33"/>
        <v>-141.76675116001468</v>
      </c>
      <c r="K103" s="5">
        <f t="shared" si="33"/>
        <v>-29.416105860113504</v>
      </c>
      <c r="L103" s="15"/>
    </row>
    <row r="104" spans="1:12" x14ac:dyDescent="0.2">
      <c r="A104" s="13">
        <f t="shared" si="34"/>
        <v>0.80000000000000016</v>
      </c>
      <c r="B104" s="5">
        <f t="shared" ref="B104:K119" si="35">B$41*$A104^4+B$42*$A104^3+B$43*$A104^2+B$44*$A104^1+B$45</f>
        <v>32.759173784305602</v>
      </c>
      <c r="C104" s="5">
        <f t="shared" si="35"/>
        <v>25.671877718214198</v>
      </c>
      <c r="D104" s="5">
        <f t="shared" si="35"/>
        <v>17.98234198653536</v>
      </c>
      <c r="E104" s="5">
        <f t="shared" si="35"/>
        <v>11.944766287625438</v>
      </c>
      <c r="F104" s="5">
        <f t="shared" si="35"/>
        <v>5.3167069316740765</v>
      </c>
      <c r="G104" s="5">
        <f t="shared" si="35"/>
        <v>-2.9818539400108648</v>
      </c>
      <c r="H104" s="5">
        <f t="shared" si="35"/>
        <v>-9.2009735957801198</v>
      </c>
      <c r="I104" s="5">
        <f t="shared" si="35"/>
        <v>-26.06498779858876</v>
      </c>
      <c r="J104" s="5">
        <f t="shared" si="35"/>
        <v>-122.5820491699784</v>
      </c>
      <c r="K104" s="5">
        <f t="shared" si="35"/>
        <v>-27.635251417769453</v>
      </c>
      <c r="L104" s="15"/>
    </row>
    <row r="105" spans="1:12" x14ac:dyDescent="0.2">
      <c r="A105" s="13">
        <f t="shared" si="34"/>
        <v>0.8500000000000002</v>
      </c>
      <c r="B105" s="5">
        <f t="shared" si="35"/>
        <v>34.047003358950541</v>
      </c>
      <c r="C105" s="5">
        <f t="shared" si="35"/>
        <v>27.06304794531291</v>
      </c>
      <c r="D105" s="5">
        <f t="shared" si="35"/>
        <v>19.516439977086577</v>
      </c>
      <c r="E105" s="5">
        <f t="shared" si="35"/>
        <v>13.490630937908985</v>
      </c>
      <c r="F105" s="5">
        <f t="shared" si="35"/>
        <v>7.0062317173185846</v>
      </c>
      <c r="G105" s="5">
        <f t="shared" si="35"/>
        <v>-0.72983521884543734</v>
      </c>
      <c r="H105" s="5">
        <f t="shared" si="35"/>
        <v>-7.009068275895288</v>
      </c>
      <c r="I105" s="5">
        <f t="shared" si="35"/>
        <v>-22.482284733034646</v>
      </c>
      <c r="J105" s="5">
        <f t="shared" si="35"/>
        <v>-105.39358434784106</v>
      </c>
      <c r="K105" s="5">
        <f t="shared" si="35"/>
        <v>-25.900672967863962</v>
      </c>
      <c r="L105" s="15"/>
    </row>
    <row r="106" spans="1:12" x14ac:dyDescent="0.2">
      <c r="A106" s="13">
        <f t="shared" si="34"/>
        <v>0.90000000000000024</v>
      </c>
      <c r="B106" s="5">
        <f t="shared" si="35"/>
        <v>35.276866567270595</v>
      </c>
      <c r="C106" s="5">
        <f t="shared" si="35"/>
        <v>28.399921861777678</v>
      </c>
      <c r="D106" s="5">
        <f t="shared" si="35"/>
        <v>20.99199930873759</v>
      </c>
      <c r="E106" s="5">
        <f t="shared" si="35"/>
        <v>14.979611934824721</v>
      </c>
      <c r="F106" s="5">
        <f t="shared" si="35"/>
        <v>8.6141833710639872</v>
      </c>
      <c r="G106" s="5">
        <f t="shared" si="35"/>
        <v>1.3411919124354057</v>
      </c>
      <c r="H106" s="5">
        <f t="shared" si="35"/>
        <v>-4.9587065765990417</v>
      </c>
      <c r="I106" s="5">
        <f t="shared" si="35"/>
        <v>-19.17472372466716</v>
      </c>
      <c r="J106" s="5">
        <f t="shared" si="35"/>
        <v>-90.05332306583125</v>
      </c>
      <c r="K106" s="5">
        <f t="shared" si="35"/>
        <v>-24.212370510397037</v>
      </c>
      <c r="L106" s="15"/>
    </row>
    <row r="107" spans="1:12" x14ac:dyDescent="0.2">
      <c r="A107" s="13">
        <f t="shared" si="34"/>
        <v>0.95000000000000029</v>
      </c>
      <c r="B107" s="5">
        <f t="shared" si="35"/>
        <v>36.452219379852636</v>
      </c>
      <c r="C107" s="5">
        <f t="shared" si="35"/>
        <v>29.684215674321848</v>
      </c>
      <c r="D107" s="5">
        <f t="shared" si="35"/>
        <v>22.409443455709237</v>
      </c>
      <c r="E107" s="5">
        <f t="shared" si="35"/>
        <v>16.41238472589794</v>
      </c>
      <c r="F107" s="5">
        <f t="shared" si="35"/>
        <v>10.144495317572705</v>
      </c>
      <c r="G107" s="5">
        <f t="shared" si="35"/>
        <v>3.2459831691937495</v>
      </c>
      <c r="H107" s="5">
        <f t="shared" si="35"/>
        <v>-3.0418854239647004</v>
      </c>
      <c r="I107" s="5">
        <f t="shared" si="35"/>
        <v>-16.124670995544008</v>
      </c>
      <c r="J107" s="5">
        <f t="shared" si="35"/>
        <v>-76.418964310029082</v>
      </c>
      <c r="K107" s="5">
        <f t="shared" si="35"/>
        <v>-22.570344045368678</v>
      </c>
      <c r="L107" s="15"/>
    </row>
    <row r="108" spans="1:12" x14ac:dyDescent="0.2">
      <c r="A108" s="13">
        <f t="shared" si="34"/>
        <v>1.0000000000000002</v>
      </c>
      <c r="B108" s="5">
        <f t="shared" si="35"/>
        <v>37.576245443364037</v>
      </c>
      <c r="C108" s="5">
        <f t="shared" si="35"/>
        <v>30.917528509738688</v>
      </c>
      <c r="D108" s="5">
        <f t="shared" si="35"/>
        <v>23.769248650066508</v>
      </c>
      <c r="E108" s="5">
        <f t="shared" si="35"/>
        <v>17.789631341695834</v>
      </c>
      <c r="F108" s="5">
        <f t="shared" si="35"/>
        <v>11.600910484733006</v>
      </c>
      <c r="G108" s="5">
        <f t="shared" si="35"/>
        <v>4.9985640540933503</v>
      </c>
      <c r="H108" s="5">
        <f t="shared" si="35"/>
        <v>-1.2508735750700879</v>
      </c>
      <c r="I108" s="5">
        <f t="shared" si="35"/>
        <v>-13.315157243511777</v>
      </c>
      <c r="J108" s="5">
        <f t="shared" si="35"/>
        <v>-64.353939680365784</v>
      </c>
      <c r="K108" s="5">
        <f t="shared" si="35"/>
        <v>-20.974593572778872</v>
      </c>
      <c r="L108" s="15"/>
    </row>
    <row r="109" spans="1:12" x14ac:dyDescent="0.2">
      <c r="A109" s="13">
        <f t="shared" si="34"/>
        <v>1.0500000000000003</v>
      </c>
      <c r="B109" s="5">
        <f t="shared" si="35"/>
        <v>38.651856080552584</v>
      </c>
      <c r="C109" s="5">
        <f t="shared" si="35"/>
        <v>32.10134241490141</v>
      </c>
      <c r="D109" s="5">
        <f t="shared" si="35"/>
        <v>25.071943881718411</v>
      </c>
      <c r="E109" s="5">
        <f t="shared" si="35"/>
        <v>19.112040395827453</v>
      </c>
      <c r="F109" s="5">
        <f t="shared" si="35"/>
        <v>12.986981303659057</v>
      </c>
      <c r="G109" s="5">
        <f t="shared" si="35"/>
        <v>6.6122298570994502</v>
      </c>
      <c r="H109" s="5">
        <f t="shared" si="35"/>
        <v>0.42178838200243263</v>
      </c>
      <c r="I109" s="5">
        <f t="shared" si="35"/>
        <v>-10.729877642205921</v>
      </c>
      <c r="J109" s="5">
        <f t="shared" si="35"/>
        <v>-53.72741339062361</v>
      </c>
      <c r="K109" s="5">
        <f t="shared" si="35"/>
        <v>-19.425119092627646</v>
      </c>
      <c r="L109" s="15"/>
    </row>
    <row r="110" spans="1:12" x14ac:dyDescent="0.2">
      <c r="A110" s="13">
        <f t="shared" si="34"/>
        <v>1.1000000000000003</v>
      </c>
      <c r="B110" s="5">
        <f t="shared" si="35"/>
        <v>39.681690290246515</v>
      </c>
      <c r="C110" s="5">
        <f t="shared" si="35"/>
        <v>33.237022356763134</v>
      </c>
      <c r="D110" s="5">
        <f t="shared" si="35"/>
        <v>26.318110898418098</v>
      </c>
      <c r="E110" s="5">
        <f t="shared" si="35"/>
        <v>20.380307084943727</v>
      </c>
      <c r="F110" s="5">
        <f t="shared" si="35"/>
        <v>14.306069708690842</v>
      </c>
      <c r="G110" s="5">
        <f t="shared" si="35"/>
        <v>8.0995456554787353</v>
      </c>
      <c r="H110" s="5">
        <f t="shared" si="35"/>
        <v>1.9832880281659584</v>
      </c>
      <c r="I110" s="5">
        <f t="shared" si="35"/>
        <v>-8.353191841050716</v>
      </c>
      <c r="J110" s="5">
        <f t="shared" si="35"/>
        <v>-44.414282268436182</v>
      </c>
      <c r="K110" s="5">
        <f t="shared" si="35"/>
        <v>-17.921920604914973</v>
      </c>
      <c r="L110" s="15"/>
    </row>
    <row r="111" spans="1:12" x14ac:dyDescent="0.2">
      <c r="A111" s="13">
        <f t="shared" si="34"/>
        <v>1.1500000000000004</v>
      </c>
      <c r="B111" s="5">
        <f t="shared" si="35"/>
        <v>40.668114747354529</v>
      </c>
      <c r="C111" s="5">
        <f t="shared" si="35"/>
        <v>34.325816222356906</v>
      </c>
      <c r="D111" s="5">
        <f t="shared" si="35"/>
        <v>27.508384205762759</v>
      </c>
      <c r="E111" s="5">
        <f t="shared" si="35"/>
        <v>21.59513318873746</v>
      </c>
      <c r="F111" s="5">
        <f t="shared" si="35"/>
        <v>15.561347137394193</v>
      </c>
      <c r="G111" s="5">
        <f t="shared" si="35"/>
        <v>9.4723463137996475</v>
      </c>
      <c r="H111" s="5">
        <f t="shared" si="35"/>
        <v>3.4405411133290187</v>
      </c>
      <c r="I111" s="5">
        <f t="shared" si="35"/>
        <v>-6.1701239652593642</v>
      </c>
      <c r="J111" s="5">
        <f t="shared" si="35"/>
        <v>-36.295175755288597</v>
      </c>
      <c r="K111" s="5">
        <f t="shared" si="35"/>
        <v>-16.464998109640867</v>
      </c>
      <c r="L111" s="15"/>
    </row>
    <row r="112" spans="1:12" x14ac:dyDescent="0.2">
      <c r="A112" s="13">
        <f t="shared" si="34"/>
        <v>1.2000000000000004</v>
      </c>
      <c r="B112" s="5">
        <f t="shared" si="35"/>
        <v>41.613223802865761</v>
      </c>
      <c r="C112" s="5">
        <f t="shared" si="35"/>
        <v>35.368854818795711</v>
      </c>
      <c r="D112" s="5">
        <f t="shared" si="35"/>
        <v>28.643451067193709</v>
      </c>
      <c r="E112" s="5">
        <f t="shared" si="35"/>
        <v>22.757227069943301</v>
      </c>
      <c r="F112" s="5">
        <f t="shared" si="35"/>
        <v>16.755794530560848</v>
      </c>
      <c r="G112" s="5">
        <f t="shared" si="35"/>
        <v>10.741736483931959</v>
      </c>
      <c r="H112" s="5">
        <f t="shared" si="35"/>
        <v>4.8001915563957311</v>
      </c>
      <c r="I112" s="5">
        <f t="shared" si="35"/>
        <v>-4.1663626158338616</v>
      </c>
      <c r="J112" s="5">
        <f t="shared" si="35"/>
        <v>-29.256455906516408</v>
      </c>
      <c r="K112" s="5">
        <f t="shared" si="35"/>
        <v>-15.054351606805326</v>
      </c>
      <c r="L112" s="15"/>
    </row>
    <row r="113" spans="1:12" x14ac:dyDescent="0.2">
      <c r="A113" s="13">
        <f t="shared" si="34"/>
        <v>1.2500000000000004</v>
      </c>
      <c r="B113" s="5">
        <f t="shared" si="35"/>
        <v>42.518839483849781</v>
      </c>
      <c r="C113" s="5">
        <f t="shared" si="35"/>
        <v>36.367151873272419</v>
      </c>
      <c r="D113" s="5">
        <f t="shared" si="35"/>
        <v>29.724051503996321</v>
      </c>
      <c r="E113" s="5">
        <f t="shared" si="35"/>
        <v>23.867303674337823</v>
      </c>
      <c r="F113" s="5">
        <f t="shared" si="35"/>
        <v>17.892202332208328</v>
      </c>
      <c r="G113" s="5">
        <f t="shared" si="35"/>
        <v>11.918090605047169</v>
      </c>
      <c r="H113" s="5">
        <f t="shared" si="35"/>
        <v>6.0686114452655033</v>
      </c>
      <c r="I113" s="5">
        <f t="shared" si="35"/>
        <v>-2.3282608695650424</v>
      </c>
      <c r="J113" s="5">
        <f t="shared" si="35"/>
        <v>-23.190217391306874</v>
      </c>
      <c r="K113" s="5">
        <f t="shared" si="35"/>
        <v>-13.689981096408339</v>
      </c>
      <c r="L113" s="15"/>
    </row>
    <row r="114" spans="1:12" ht="13.5" thickBot="1" x14ac:dyDescent="0.25">
      <c r="A114" s="16">
        <f t="shared" si="34"/>
        <v>1.3000000000000005</v>
      </c>
      <c r="B114" s="17">
        <f t="shared" si="35"/>
        <v>43.386511493456645</v>
      </c>
      <c r="C114" s="17">
        <f t="shared" si="35"/>
        <v>37.321604033059884</v>
      </c>
      <c r="D114" s="17">
        <f t="shared" si="35"/>
        <v>30.750978295300079</v>
      </c>
      <c r="E114" s="17">
        <f t="shared" si="35"/>
        <v>24.926084530739406</v>
      </c>
      <c r="F114" s="17">
        <f t="shared" si="35"/>
        <v>18.973170489580099</v>
      </c>
      <c r="G114" s="17">
        <f t="shared" si="35"/>
        <v>13.011052903618122</v>
      </c>
      <c r="H114" s="17">
        <f t="shared" si="35"/>
        <v>7.2519010368333454</v>
      </c>
      <c r="I114" s="17">
        <f t="shared" si="35"/>
        <v>-0.64283627903279239</v>
      </c>
      <c r="J114" s="17">
        <f t="shared" si="35"/>
        <v>-17.994287492698163</v>
      </c>
      <c r="K114" s="17">
        <f t="shared" si="35"/>
        <v>-12.371886578449917</v>
      </c>
      <c r="L114" s="18"/>
    </row>
    <row r="115" spans="1:12" ht="13.5" thickBot="1" x14ac:dyDescent="0.25">
      <c r="A115" s="16">
        <f t="shared" si="34"/>
        <v>1.3500000000000005</v>
      </c>
      <c r="B115" s="17">
        <f t="shared" si="35"/>
        <v>44.217517210916846</v>
      </c>
      <c r="C115" s="17">
        <f t="shared" si="35"/>
        <v>38.232990865510821</v>
      </c>
      <c r="D115" s="17">
        <f t="shared" si="35"/>
        <v>31.725076978078498</v>
      </c>
      <c r="E115" s="17">
        <f t="shared" si="35"/>
        <v>25.934297751008348</v>
      </c>
      <c r="F115" s="17">
        <f t="shared" si="35"/>
        <v>20.001108453145406</v>
      </c>
      <c r="G115" s="17">
        <f t="shared" si="35"/>
        <v>14.02953739341946</v>
      </c>
      <c r="H115" s="17">
        <f t="shared" si="35"/>
        <v>8.3558887569896854</v>
      </c>
      <c r="I115" s="17">
        <f t="shared" si="35"/>
        <v>0.90222912739440631</v>
      </c>
      <c r="J115" s="17">
        <f t="shared" si="35"/>
        <v>-13.572226107580377</v>
      </c>
      <c r="K115" s="17">
        <f t="shared" si="35"/>
        <v>-11.100068052930069</v>
      </c>
    </row>
    <row r="116" spans="1:12" ht="13.5" thickBot="1" x14ac:dyDescent="0.25">
      <c r="A116" s="16">
        <f t="shared" si="34"/>
        <v>1.4000000000000006</v>
      </c>
      <c r="B116" s="17">
        <f t="shared" si="35"/>
        <v>45.012861691541282</v>
      </c>
      <c r="C116" s="17">
        <f t="shared" si="35"/>
        <v>39.101974858057929</v>
      </c>
      <c r="D116" s="17">
        <f t="shared" si="35"/>
        <v>32.647245847149271</v>
      </c>
      <c r="E116" s="17">
        <f t="shared" si="35"/>
        <v>26.892678030046792</v>
      </c>
      <c r="F116" s="17">
        <f t="shared" si="35"/>
        <v>20.978235176599384</v>
      </c>
      <c r="G116" s="17">
        <f t="shared" si="35"/>
        <v>14.981727875527156</v>
      </c>
      <c r="H116" s="17">
        <f t="shared" si="35"/>
        <v>9.38613120062044</v>
      </c>
      <c r="I116" s="17">
        <f t="shared" si="35"/>
        <v>2.3185888455589918</v>
      </c>
      <c r="J116" s="17">
        <f t="shared" si="35"/>
        <v>-9.8333257466932764</v>
      </c>
      <c r="K116" s="17">
        <f t="shared" si="35"/>
        <v>-9.8745255198487882</v>
      </c>
    </row>
    <row r="117" spans="1:12" ht="13.5" thickBot="1" x14ac:dyDescent="0.25">
      <c r="A117" s="16">
        <f t="shared" si="34"/>
        <v>1.4500000000000006</v>
      </c>
      <c r="B117" s="17">
        <f t="shared" si="35"/>
        <v>45.773277666721356</v>
      </c>
      <c r="C117" s="17">
        <f t="shared" si="35"/>
        <v>39.929101418213776</v>
      </c>
      <c r="D117" s="17">
        <f t="shared" si="35"/>
        <v>33.518435955174098</v>
      </c>
      <c r="E117" s="17">
        <f t="shared" si="35"/>
        <v>27.801966645798768</v>
      </c>
      <c r="F117" s="17">
        <f t="shared" si="35"/>
        <v>21.906579116863014</v>
      </c>
      <c r="G117" s="17">
        <f t="shared" si="35"/>
        <v>15.875077938318782</v>
      </c>
      <c r="H117" s="17">
        <f t="shared" si="35"/>
        <v>10.347913131606873</v>
      </c>
      <c r="I117" s="17">
        <f t="shared" si="35"/>
        <v>3.6172318955146352</v>
      </c>
      <c r="J117" s="17">
        <f t="shared" si="35"/>
        <v>-6.6926115346292363</v>
      </c>
      <c r="K117" s="17">
        <f t="shared" si="35"/>
        <v>-8.6952589792060522</v>
      </c>
    </row>
    <row r="118" spans="1:12" ht="13.5" thickBot="1" x14ac:dyDescent="0.25">
      <c r="A118" s="16">
        <f t="shared" si="34"/>
        <v>1.5000000000000007</v>
      </c>
      <c r="B118" s="17">
        <f t="shared" si="35"/>
        <v>46.499225543928901</v>
      </c>
      <c r="C118" s="17">
        <f t="shared" si="35"/>
        <v>40.714798873570913</v>
      </c>
      <c r="D118" s="17">
        <f t="shared" si="35"/>
        <v>34.339651112658807</v>
      </c>
      <c r="E118" s="17">
        <f t="shared" si="35"/>
        <v>28.662911459250157</v>
      </c>
      <c r="F118" s="17">
        <f t="shared" si="35"/>
        <v>22.787978234083141</v>
      </c>
      <c r="G118" s="17">
        <f t="shared" si="35"/>
        <v>16.716310957473553</v>
      </c>
      <c r="H118" s="17">
        <f t="shared" si="35"/>
        <v>11.246247482825936</v>
      </c>
      <c r="I118" s="17">
        <f t="shared" si="35"/>
        <v>4.8084828215262974</v>
      </c>
      <c r="J118" s="17">
        <f t="shared" si="35"/>
        <v>-4.0708412098309736</v>
      </c>
      <c r="K118" s="17">
        <f t="shared" si="35"/>
        <v>-7.5622684310018968</v>
      </c>
    </row>
    <row r="119" spans="1:12" ht="13.5" thickBot="1" x14ac:dyDescent="0.25">
      <c r="A119" s="16">
        <f t="shared" si="34"/>
        <v>1.5500000000000007</v>
      </c>
      <c r="B119" s="17">
        <f t="shared" si="35"/>
        <v>47.19089340671615</v>
      </c>
      <c r="C119" s="17">
        <f t="shared" si="35"/>
        <v>41.459378471801756</v>
      </c>
      <c r="D119" s="17">
        <f t="shared" si="35"/>
        <v>35.111947887953292</v>
      </c>
      <c r="E119" s="17">
        <f t="shared" si="35"/>
        <v>29.476266914428745</v>
      </c>
      <c r="F119" s="17">
        <f t="shared" si="35"/>
        <v>23.624079991632449</v>
      </c>
      <c r="G119" s="17">
        <f t="shared" si="35"/>
        <v>17.511420095972113</v>
      </c>
      <c r="H119" s="17">
        <f t="shared" si="35"/>
        <v>12.085875356149828</v>
      </c>
      <c r="I119" s="17">
        <f t="shared" si="35"/>
        <v>5.9020016920696889</v>
      </c>
      <c r="J119" s="17">
        <f t="shared" si="35"/>
        <v>-1.894505124592456</v>
      </c>
      <c r="K119" s="17">
        <f t="shared" si="35"/>
        <v>-6.4755538752362867</v>
      </c>
    </row>
    <row r="120" spans="1:12" ht="13.5" thickBot="1" x14ac:dyDescent="0.25">
      <c r="A120" s="16">
        <f t="shared" si="34"/>
        <v>1.6000000000000008</v>
      </c>
      <c r="B120" s="17">
        <f t="shared" ref="B120:K124" si="36">B$41*$A120^4+B$42*$A120^3+B$43*$A120^2+B$44*$A120^1+B$45</f>
        <v>47.848197014715886</v>
      </c>
      <c r="C120" s="17">
        <f t="shared" si="36"/>
        <v>42.163034380658672</v>
      </c>
      <c r="D120" s="17">
        <f t="shared" si="36"/>
        <v>35.836435607251538</v>
      </c>
      <c r="E120" s="17">
        <f t="shared" si="36"/>
        <v>30.24279403840416</v>
      </c>
      <c r="F120" s="17">
        <f t="shared" si="36"/>
        <v>24.416341356109506</v>
      </c>
      <c r="G120" s="17">
        <f t="shared" si="36"/>
        <v>18.265668304096693</v>
      </c>
      <c r="H120" s="17">
        <f t="shared" si="36"/>
        <v>12.871266022446378</v>
      </c>
      <c r="I120" s="17">
        <f t="shared" si="36"/>
        <v>6.9067840998320662</v>
      </c>
      <c r="J120" s="17">
        <f t="shared" si="36"/>
        <v>-9.5826245060266046E-2</v>
      </c>
      <c r="K120" s="17">
        <f t="shared" si="36"/>
        <v>-5.4351153119092572</v>
      </c>
    </row>
    <row r="121" spans="1:12" ht="13.5" thickBot="1" x14ac:dyDescent="0.25">
      <c r="A121" s="16">
        <f t="shared" si="34"/>
        <v>1.6500000000000008</v>
      </c>
      <c r="B121" s="17">
        <f t="shared" si="36"/>
        <v>48.470779803641236</v>
      </c>
      <c r="C121" s="17">
        <f t="shared" si="36"/>
        <v>42.825843687973979</v>
      </c>
      <c r="D121" s="17">
        <f t="shared" si="36"/>
        <v>36.514276354591615</v>
      </c>
      <c r="E121" s="17">
        <f t="shared" si="36"/>
        <v>30.963260441287911</v>
      </c>
      <c r="F121" s="17">
        <f t="shared" si="36"/>
        <v>25.166028797338718</v>
      </c>
      <c r="G121" s="17">
        <f t="shared" si="36"/>
        <v>18.983588319431078</v>
      </c>
      <c r="H121" s="17">
        <f t="shared" si="36"/>
        <v>13.606616921578706</v>
      </c>
      <c r="I121" s="17">
        <f t="shared" si="36"/>
        <v>7.8311611617115489</v>
      </c>
      <c r="J121" s="17">
        <f t="shared" si="36"/>
        <v>1.3872398487704913</v>
      </c>
      <c r="K121" s="17">
        <f t="shared" si="36"/>
        <v>-4.4409527410207801</v>
      </c>
    </row>
    <row r="122" spans="1:12" ht="13.5" thickBot="1" x14ac:dyDescent="0.25">
      <c r="A122" s="16">
        <f t="shared" si="34"/>
        <v>1.7000000000000008</v>
      </c>
      <c r="B122" s="17">
        <f t="shared" si="36"/>
        <v>49.058012885285855</v>
      </c>
      <c r="C122" s="17">
        <f t="shared" si="36"/>
        <v>43.447766401659877</v>
      </c>
      <c r="D122" s="17">
        <f t="shared" si="36"/>
        <v>37.146684971855692</v>
      </c>
      <c r="E122" s="17">
        <f t="shared" si="36"/>
        <v>31.638440316233389</v>
      </c>
      <c r="F122" s="17">
        <f t="shared" si="36"/>
        <v>25.874218288370344</v>
      </c>
      <c r="G122" s="17">
        <f t="shared" si="36"/>
        <v>19.668982666860614</v>
      </c>
      <c r="H122" s="17">
        <f t="shared" si="36"/>
        <v>14.295853662405676</v>
      </c>
      <c r="I122" s="17">
        <f t="shared" si="36"/>
        <v>8.6827995188176601</v>
      </c>
      <c r="J122" s="17">
        <f t="shared" si="36"/>
        <v>2.6110049630511867</v>
      </c>
      <c r="K122" s="17">
        <f t="shared" si="36"/>
        <v>-3.4930661625708765</v>
      </c>
    </row>
    <row r="123" spans="1:12" ht="13.5" thickBot="1" x14ac:dyDescent="0.25">
      <c r="A123" s="16">
        <f t="shared" si="34"/>
        <v>1.7500000000000009</v>
      </c>
      <c r="B123" s="17">
        <f t="shared" si="36"/>
        <v>49.608995047523784</v>
      </c>
      <c r="C123" s="17">
        <f t="shared" si="36"/>
        <v>44.028645449708499</v>
      </c>
      <c r="D123" s="17">
        <f t="shared" si="36"/>
        <v>37.73492905877</v>
      </c>
      <c r="E123" s="17">
        <f t="shared" si="36"/>
        <v>32.269114439435825</v>
      </c>
      <c r="F123" s="17">
        <f t="shared" si="36"/>
        <v>26.54179530548052</v>
      </c>
      <c r="G123" s="17">
        <f t="shared" si="36"/>
        <v>20.324923658572061</v>
      </c>
      <c r="H123" s="17">
        <f t="shared" si="36"/>
        <v>14.942630022781231</v>
      </c>
      <c r="I123" s="17">
        <f t="shared" si="36"/>
        <v>9.4687013364707013</v>
      </c>
      <c r="J123" s="17">
        <f t="shared" si="36"/>
        <v>3.6260482900837587</v>
      </c>
      <c r="K123" s="17">
        <f t="shared" si="36"/>
        <v>-2.5914555765595253</v>
      </c>
    </row>
    <row r="124" spans="1:12" ht="13.5" thickBot="1" x14ac:dyDescent="0.25">
      <c r="A124" s="16">
        <f t="shared" si="34"/>
        <v>1.8000000000000009</v>
      </c>
      <c r="B124" s="17">
        <f t="shared" si="36"/>
        <v>50.122552754309559</v>
      </c>
      <c r="C124" s="17">
        <f t="shared" si="36"/>
        <v>44.568206680191935</v>
      </c>
      <c r="D124" s="17">
        <f t="shared" si="36"/>
        <v>38.28032897290489</v>
      </c>
      <c r="E124" s="17">
        <f t="shared" si="36"/>
        <v>32.856070170132355</v>
      </c>
      <c r="F124" s="17">
        <f t="shared" si="36"/>
        <v>27.169454828171212</v>
      </c>
      <c r="G124" s="17">
        <f t="shared" si="36"/>
        <v>20.953753394053962</v>
      </c>
      <c r="H124" s="17">
        <f t="shared" si="36"/>
        <v>15.550327949555182</v>
      </c>
      <c r="I124" s="17">
        <f t="shared" si="36"/>
        <v>10.195204304202434</v>
      </c>
      <c r="J124" s="17">
        <f t="shared" si="36"/>
        <v>4.4772164083170765</v>
      </c>
      <c r="K124" s="17">
        <f t="shared" si="36"/>
        <v>-1.7361209829867477</v>
      </c>
    </row>
    <row r="125" spans="1:12" ht="13.5" thickBot="1" x14ac:dyDescent="0.25">
      <c r="A125" s="16"/>
      <c r="B125" s="17"/>
      <c r="C125" s="17"/>
      <c r="D125" s="17"/>
      <c r="E125" s="17"/>
      <c r="F125" s="17"/>
      <c r="G125" s="17"/>
      <c r="H125" s="17"/>
      <c r="I125" s="17"/>
      <c r="J125" s="17"/>
      <c r="K125" s="17"/>
    </row>
    <row r="126" spans="1:12" ht="13.5" thickBot="1" x14ac:dyDescent="0.25">
      <c r="A126" s="16"/>
      <c r="B126" s="17"/>
      <c r="C126" s="17"/>
      <c r="D126" s="17"/>
      <c r="E126" s="17"/>
      <c r="F126" s="17"/>
      <c r="G126" s="17"/>
      <c r="H126" s="17"/>
      <c r="I126" s="17"/>
      <c r="J126" s="17"/>
      <c r="K126" s="17"/>
    </row>
    <row r="127" spans="1:12" ht="13.5" thickBot="1" x14ac:dyDescent="0.25">
      <c r="A127" s="16"/>
      <c r="B127" s="17"/>
      <c r="C127" s="17"/>
      <c r="D127" s="17"/>
      <c r="E127" s="17"/>
      <c r="F127" s="17"/>
      <c r="G127" s="17"/>
      <c r="H127" s="17"/>
      <c r="I127" s="17"/>
      <c r="J127" s="17"/>
      <c r="K127" s="17"/>
    </row>
    <row r="128" spans="1:12" ht="13.5" thickBot="1" x14ac:dyDescent="0.25">
      <c r="A128" s="16"/>
      <c r="B128" s="17"/>
      <c r="C128" s="17"/>
      <c r="D128" s="17"/>
      <c r="E128" s="17"/>
      <c r="F128" s="17"/>
      <c r="G128" s="17"/>
      <c r="H128" s="17"/>
      <c r="I128" s="17"/>
      <c r="J128" s="17"/>
      <c r="K128" s="17"/>
    </row>
    <row r="129" spans="1:11" ht="13.5" thickBot="1" x14ac:dyDescent="0.25">
      <c r="A129" s="16"/>
      <c r="B129" s="17"/>
      <c r="C129" s="17"/>
      <c r="D129" s="17"/>
      <c r="E129" s="17"/>
      <c r="F129" s="17"/>
      <c r="G129" s="17"/>
      <c r="H129" s="17"/>
      <c r="I129" s="17"/>
      <c r="J129" s="17"/>
      <c r="K129" s="17"/>
    </row>
    <row r="130" spans="1:11" ht="13.5" thickBot="1" x14ac:dyDescent="0.25">
      <c r="A130" s="16"/>
      <c r="B130" s="17"/>
      <c r="C130" s="17"/>
      <c r="D130" s="17"/>
      <c r="E130" s="17"/>
      <c r="F130" s="17"/>
      <c r="G130" s="17"/>
      <c r="H130" s="17"/>
      <c r="I130" s="17"/>
      <c r="J130" s="17"/>
      <c r="K130" s="17"/>
    </row>
    <row r="131" spans="1:11" ht="13.5" thickBot="1" x14ac:dyDescent="0.25">
      <c r="A131" s="16"/>
      <c r="B131" s="17"/>
      <c r="C131" s="17"/>
      <c r="D131" s="17"/>
      <c r="E131" s="17"/>
      <c r="F131" s="17"/>
      <c r="G131" s="17"/>
      <c r="H131" s="17"/>
      <c r="I131" s="17"/>
      <c r="J131" s="17"/>
      <c r="K131" s="17"/>
    </row>
    <row r="132" spans="1:11" ht="13.5" thickBot="1" x14ac:dyDescent="0.25">
      <c r="A132" s="16"/>
      <c r="B132" s="17"/>
      <c r="C132" s="17"/>
      <c r="D132" s="17"/>
      <c r="E132" s="17"/>
      <c r="F132" s="17"/>
      <c r="G132" s="17"/>
      <c r="H132" s="17"/>
      <c r="I132" s="17"/>
      <c r="J132" s="17"/>
      <c r="K132" s="17"/>
    </row>
    <row r="133" spans="1:11" x14ac:dyDescent="0.2">
      <c r="B133" s="22"/>
      <c r="C133" s="22"/>
      <c r="D133" s="22"/>
      <c r="E133" s="22"/>
      <c r="F133" s="22"/>
      <c r="G133" s="22"/>
      <c r="H133" s="22"/>
      <c r="I133" s="22"/>
      <c r="J133" s="22"/>
      <c r="K133" s="22"/>
    </row>
    <row r="134" spans="1:11" x14ac:dyDescent="0.2">
      <c r="B134" s="22"/>
      <c r="C134" s="22"/>
      <c r="D134" s="22"/>
      <c r="E134" s="22"/>
      <c r="F134" s="22"/>
      <c r="G134" s="22"/>
      <c r="H134" s="22"/>
      <c r="I134" s="22"/>
      <c r="J134" s="22"/>
      <c r="K134" s="22"/>
    </row>
    <row r="135" spans="1:11" x14ac:dyDescent="0.2">
      <c r="B135" s="22"/>
      <c r="C135" s="22"/>
      <c r="D135" s="22"/>
      <c r="E135" s="22"/>
      <c r="F135" s="22"/>
      <c r="G135" s="22"/>
      <c r="H135" s="22"/>
      <c r="I135" s="22"/>
      <c r="J135" s="22"/>
      <c r="K135" s="22"/>
    </row>
    <row r="136" spans="1:11" x14ac:dyDescent="0.2">
      <c r="B136" s="22"/>
      <c r="C136" s="22"/>
      <c r="D136" s="22"/>
      <c r="E136" s="22"/>
      <c r="F136" s="22"/>
      <c r="G136" s="22"/>
      <c r="H136" s="22"/>
      <c r="I136" s="22"/>
      <c r="J136" s="22"/>
      <c r="K136" s="22"/>
    </row>
    <row r="137" spans="1:11" x14ac:dyDescent="0.2">
      <c r="B137" s="22"/>
      <c r="C137" s="22"/>
      <c r="D137" s="22"/>
      <c r="E137" s="22"/>
      <c r="F137" s="22"/>
      <c r="G137" s="22"/>
      <c r="H137" s="22"/>
      <c r="I137" s="22"/>
      <c r="J137" s="22"/>
      <c r="K137" s="22"/>
    </row>
    <row r="138" spans="1:11" x14ac:dyDescent="0.2">
      <c r="B138" s="22"/>
      <c r="C138" s="22"/>
      <c r="D138" s="22"/>
      <c r="E138" s="22"/>
      <c r="F138" s="22"/>
      <c r="G138" s="22"/>
      <c r="H138" s="22"/>
      <c r="I138" s="22"/>
      <c r="J138" s="22"/>
      <c r="K138" s="22"/>
    </row>
    <row r="139" spans="1:11" x14ac:dyDescent="0.2">
      <c r="B139" s="22"/>
      <c r="C139" s="22"/>
      <c r="D139" s="22"/>
      <c r="E139" s="22"/>
      <c r="F139" s="22"/>
      <c r="G139" s="22"/>
      <c r="H139" s="22"/>
      <c r="I139" s="22"/>
      <c r="J139" s="22"/>
      <c r="K139" s="22"/>
    </row>
    <row r="140" spans="1:11" x14ac:dyDescent="0.2">
      <c r="B140" s="22"/>
      <c r="C140" s="22"/>
      <c r="D140" s="22"/>
      <c r="E140" s="22"/>
      <c r="F140" s="22"/>
      <c r="G140" s="22"/>
      <c r="H140" s="22"/>
      <c r="I140" s="22"/>
      <c r="J140" s="22"/>
      <c r="K140" s="22"/>
    </row>
    <row r="141" spans="1:11" x14ac:dyDescent="0.2">
      <c r="B141" s="22"/>
      <c r="C141" s="22"/>
      <c r="D141" s="22"/>
      <c r="E141" s="22"/>
      <c r="F141" s="22"/>
      <c r="G141" s="22"/>
      <c r="H141" s="22"/>
      <c r="I141" s="22"/>
      <c r="J141" s="22"/>
      <c r="K141" s="22"/>
    </row>
    <row r="142" spans="1:11" x14ac:dyDescent="0.2">
      <c r="B142" s="22"/>
      <c r="C142" s="22"/>
      <c r="D142" s="22"/>
      <c r="E142" s="22"/>
      <c r="F142" s="22"/>
      <c r="G142" s="22"/>
      <c r="H142" s="22"/>
      <c r="I142" s="22"/>
      <c r="J142" s="22"/>
      <c r="K142" s="22"/>
    </row>
    <row r="143" spans="1:11" x14ac:dyDescent="0.2">
      <c r="B143" s="22"/>
      <c r="C143" s="22"/>
      <c r="D143" s="22"/>
      <c r="E143" s="22"/>
      <c r="F143" s="22"/>
      <c r="G143" s="22"/>
      <c r="H143" s="22"/>
      <c r="I143" s="22"/>
      <c r="J143" s="22"/>
      <c r="K143" s="22"/>
    </row>
    <row r="144" spans="1:11" x14ac:dyDescent="0.2">
      <c r="B144" s="22"/>
      <c r="C144" s="22"/>
      <c r="D144" s="22"/>
      <c r="E144" s="22"/>
      <c r="F144" s="22"/>
      <c r="G144" s="22"/>
      <c r="H144" s="22"/>
      <c r="I144" s="22"/>
      <c r="J144" s="22"/>
      <c r="K144" s="22"/>
    </row>
    <row r="145" spans="2:11" x14ac:dyDescent="0.2">
      <c r="B145" s="22"/>
      <c r="C145" s="22"/>
      <c r="D145" s="22"/>
      <c r="E145" s="22"/>
      <c r="F145" s="22"/>
      <c r="G145" s="22"/>
      <c r="H145" s="22"/>
      <c r="I145" s="22"/>
      <c r="J145" s="22"/>
      <c r="K145" s="22"/>
    </row>
    <row r="146" spans="2:11" x14ac:dyDescent="0.2">
      <c r="B146" s="22"/>
      <c r="C146" s="22"/>
      <c r="D146" s="22"/>
      <c r="E146" s="22"/>
      <c r="F146" s="22"/>
      <c r="G146" s="22"/>
      <c r="H146" s="22"/>
      <c r="I146" s="22"/>
      <c r="J146" s="22"/>
      <c r="K146" s="22"/>
    </row>
    <row r="147" spans="2:11" x14ac:dyDescent="0.2">
      <c r="B147" s="22"/>
      <c r="C147" s="22"/>
      <c r="D147" s="22"/>
      <c r="E147" s="22"/>
      <c r="F147" s="22"/>
      <c r="G147" s="22"/>
      <c r="H147" s="22"/>
      <c r="I147" s="22"/>
      <c r="J147" s="22"/>
      <c r="K147" s="22"/>
    </row>
    <row r="148" spans="2:11" x14ac:dyDescent="0.2">
      <c r="B148" s="22"/>
      <c r="C148" s="22"/>
      <c r="D148" s="22"/>
      <c r="E148" s="22"/>
      <c r="F148" s="22"/>
      <c r="G148" s="22"/>
      <c r="H148" s="22"/>
      <c r="I148" s="22"/>
      <c r="J148" s="22"/>
      <c r="K148" s="22"/>
    </row>
    <row r="149" spans="2:11" x14ac:dyDescent="0.2">
      <c r="B149" s="22"/>
      <c r="C149" s="22"/>
      <c r="D149" s="22"/>
      <c r="E149" s="22"/>
      <c r="F149" s="22"/>
      <c r="G149" s="22"/>
      <c r="H149" s="22"/>
      <c r="I149" s="22"/>
      <c r="J149" s="22"/>
      <c r="K149" s="22"/>
    </row>
    <row r="150" spans="2:11" x14ac:dyDescent="0.2">
      <c r="B150" s="22"/>
      <c r="C150" s="22"/>
      <c r="D150" s="22"/>
      <c r="E150" s="22"/>
      <c r="F150" s="22"/>
      <c r="G150" s="22"/>
      <c r="H150" s="22"/>
      <c r="I150" s="22"/>
      <c r="J150" s="22"/>
      <c r="K150" s="22"/>
    </row>
    <row r="151" spans="2:11" x14ac:dyDescent="0.2">
      <c r="B151" s="22"/>
      <c r="C151" s="22"/>
      <c r="D151" s="22"/>
      <c r="E151" s="22"/>
      <c r="F151" s="22"/>
      <c r="G151" s="22"/>
      <c r="H151" s="22"/>
      <c r="I151" s="22"/>
      <c r="J151" s="22"/>
      <c r="K151" s="22"/>
    </row>
    <row r="152" spans="2:11" x14ac:dyDescent="0.2">
      <c r="B152" s="22"/>
      <c r="C152" s="22"/>
      <c r="D152" s="22"/>
      <c r="E152" s="22"/>
      <c r="F152" s="22"/>
      <c r="G152" s="22"/>
      <c r="H152" s="22"/>
      <c r="I152" s="22"/>
      <c r="J152" s="22"/>
      <c r="K152" s="22"/>
    </row>
    <row r="153" spans="2:11" x14ac:dyDescent="0.2">
      <c r="B153" s="22"/>
      <c r="C153" s="22"/>
      <c r="D153" s="22"/>
      <c r="E153" s="22"/>
      <c r="F153" s="22"/>
      <c r="G153" s="22"/>
      <c r="H153" s="22"/>
      <c r="I153" s="22"/>
      <c r="J153" s="22"/>
      <c r="K153" s="22"/>
    </row>
    <row r="154" spans="2:11" x14ac:dyDescent="0.2">
      <c r="B154" s="22"/>
      <c r="C154" s="22"/>
      <c r="D154" s="22"/>
      <c r="E154" s="22"/>
      <c r="F154" s="22"/>
      <c r="G154" s="22"/>
      <c r="H154" s="22"/>
      <c r="I154" s="22"/>
      <c r="J154" s="22"/>
      <c r="K154" s="22"/>
    </row>
    <row r="155" spans="2:11" x14ac:dyDescent="0.2">
      <c r="B155" s="22"/>
      <c r="C155" s="22"/>
      <c r="D155" s="22"/>
      <c r="E155" s="22"/>
      <c r="F155" s="22"/>
      <c r="G155" s="22"/>
      <c r="H155" s="22"/>
      <c r="I155" s="22"/>
      <c r="J155" s="22"/>
      <c r="K155" s="22"/>
    </row>
    <row r="156" spans="2:11" x14ac:dyDescent="0.2">
      <c r="B156" s="22"/>
      <c r="C156" s="22"/>
      <c r="D156" s="22"/>
      <c r="E156" s="22"/>
      <c r="F156" s="22"/>
      <c r="G156" s="22"/>
      <c r="H156" s="22"/>
      <c r="I156" s="22"/>
      <c r="J156" s="22"/>
      <c r="K156" s="22"/>
    </row>
    <row r="157" spans="2:11" x14ac:dyDescent="0.2">
      <c r="B157" s="22"/>
      <c r="C157" s="22"/>
      <c r="D157" s="22"/>
      <c r="E157" s="22"/>
      <c r="F157" s="22"/>
      <c r="G157" s="22"/>
      <c r="H157" s="22"/>
      <c r="I157" s="22"/>
      <c r="J157" s="22"/>
      <c r="K157" s="22"/>
    </row>
    <row r="158" spans="2:11" x14ac:dyDescent="0.2">
      <c r="B158" s="22"/>
      <c r="C158" s="22"/>
      <c r="D158" s="22"/>
      <c r="E158" s="22"/>
      <c r="F158" s="22"/>
      <c r="G158" s="22"/>
      <c r="H158" s="22"/>
      <c r="I158" s="22"/>
      <c r="J158" s="22"/>
      <c r="K158" s="22"/>
    </row>
    <row r="159" spans="2:11" x14ac:dyDescent="0.2">
      <c r="B159" s="22"/>
      <c r="C159" s="22"/>
      <c r="D159" s="22"/>
      <c r="E159" s="22"/>
      <c r="F159" s="22"/>
      <c r="G159" s="22"/>
      <c r="H159" s="22"/>
      <c r="I159" s="22"/>
      <c r="J159" s="22"/>
      <c r="K159" s="22"/>
    </row>
    <row r="160" spans="2:11" x14ac:dyDescent="0.2">
      <c r="B160" s="22"/>
      <c r="C160" s="22"/>
      <c r="D160" s="22"/>
      <c r="E160" s="22"/>
      <c r="F160" s="22"/>
      <c r="G160" s="22"/>
      <c r="H160" s="22"/>
      <c r="I160" s="22"/>
      <c r="J160" s="22"/>
      <c r="K160" s="22"/>
    </row>
    <row r="161" spans="2:11" x14ac:dyDescent="0.2">
      <c r="B161" s="22"/>
      <c r="C161" s="22"/>
      <c r="D161" s="22"/>
      <c r="E161" s="22"/>
      <c r="F161" s="22"/>
      <c r="G161" s="22"/>
      <c r="H161" s="22"/>
      <c r="I161" s="22"/>
      <c r="J161" s="22"/>
      <c r="K161" s="22"/>
    </row>
    <row r="162" spans="2:11" x14ac:dyDescent="0.2">
      <c r="B162" s="22"/>
      <c r="C162" s="22"/>
      <c r="D162" s="22"/>
      <c r="E162" s="22"/>
      <c r="F162" s="22"/>
      <c r="G162" s="22"/>
      <c r="H162" s="22"/>
      <c r="I162" s="22"/>
      <c r="J162" s="22"/>
      <c r="K162" s="22"/>
    </row>
    <row r="163" spans="2:11" x14ac:dyDescent="0.2">
      <c r="B163" s="22"/>
      <c r="C163" s="22"/>
      <c r="D163" s="22"/>
      <c r="E163" s="22"/>
      <c r="F163" s="22"/>
      <c r="G163" s="22"/>
      <c r="H163" s="22"/>
      <c r="I163" s="22"/>
      <c r="J163" s="22"/>
      <c r="K163" s="22"/>
    </row>
    <row r="164" spans="2:11" x14ac:dyDescent="0.2">
      <c r="B164" s="22"/>
      <c r="C164" s="22"/>
      <c r="D164" s="22"/>
      <c r="E164" s="22"/>
      <c r="F164" s="22"/>
      <c r="G164" s="22"/>
      <c r="H164" s="22"/>
      <c r="I164" s="22"/>
      <c r="J164" s="22"/>
      <c r="K164" s="22"/>
    </row>
    <row r="165" spans="2:11" x14ac:dyDescent="0.2">
      <c r="B165" s="22"/>
      <c r="C165" s="22"/>
      <c r="D165" s="22"/>
      <c r="E165" s="22"/>
      <c r="F165" s="22"/>
      <c r="G165" s="22"/>
      <c r="H165" s="22"/>
      <c r="I165" s="22"/>
      <c r="J165" s="22"/>
      <c r="K165" s="22"/>
    </row>
    <row r="166" spans="2:11" x14ac:dyDescent="0.2">
      <c r="B166" s="22"/>
      <c r="C166" s="22"/>
      <c r="D166" s="22"/>
      <c r="E166" s="22"/>
      <c r="F166" s="22"/>
      <c r="G166" s="22"/>
      <c r="H166" s="22"/>
      <c r="I166" s="22"/>
      <c r="J166" s="22"/>
      <c r="K166" s="22"/>
    </row>
    <row r="167" spans="2:11" x14ac:dyDescent="0.2">
      <c r="B167" s="22"/>
      <c r="C167" s="22"/>
      <c r="D167" s="22"/>
      <c r="E167" s="22"/>
      <c r="F167" s="22"/>
      <c r="G167" s="22"/>
      <c r="H167" s="22"/>
      <c r="I167" s="22"/>
      <c r="J167" s="22"/>
      <c r="K167" s="22"/>
    </row>
    <row r="168" spans="2:11" x14ac:dyDescent="0.2">
      <c r="B168" s="22"/>
      <c r="C168" s="22"/>
      <c r="D168" s="22"/>
      <c r="E168" s="22"/>
      <c r="F168" s="22"/>
      <c r="G168" s="22"/>
      <c r="H168" s="22"/>
      <c r="I168" s="22"/>
      <c r="J168" s="22"/>
      <c r="K168" s="22"/>
    </row>
    <row r="169" spans="2:11" x14ac:dyDescent="0.2">
      <c r="B169" s="22"/>
      <c r="C169" s="22"/>
      <c r="D169" s="22"/>
      <c r="E169" s="22"/>
      <c r="F169" s="22"/>
      <c r="G169" s="22"/>
      <c r="H169" s="22"/>
      <c r="I169" s="22"/>
      <c r="J169" s="22"/>
      <c r="K169" s="22"/>
    </row>
    <row r="170" spans="2:11" x14ac:dyDescent="0.2">
      <c r="B170" s="22"/>
      <c r="C170" s="22"/>
      <c r="D170" s="22"/>
      <c r="E170" s="22"/>
      <c r="F170" s="22"/>
      <c r="G170" s="22"/>
      <c r="H170" s="22"/>
      <c r="I170" s="22"/>
      <c r="J170" s="22"/>
      <c r="K170" s="22"/>
    </row>
    <row r="171" spans="2:11" x14ac:dyDescent="0.2">
      <c r="B171" s="22"/>
      <c r="C171" s="22"/>
      <c r="D171" s="22"/>
      <c r="E171" s="22"/>
      <c r="F171" s="22"/>
      <c r="G171" s="22"/>
      <c r="H171" s="22"/>
      <c r="I171" s="22"/>
      <c r="J171" s="22"/>
      <c r="K171" s="22"/>
    </row>
    <row r="172" spans="2:11" x14ac:dyDescent="0.2">
      <c r="B172" s="22"/>
      <c r="C172" s="22"/>
      <c r="D172" s="22"/>
      <c r="E172" s="22"/>
      <c r="F172" s="22"/>
      <c r="G172" s="22"/>
      <c r="H172" s="22"/>
      <c r="I172" s="22"/>
      <c r="J172" s="22"/>
      <c r="K172" s="22"/>
    </row>
    <row r="173" spans="2:11" x14ac:dyDescent="0.2">
      <c r="B173" s="22"/>
      <c r="C173" s="22"/>
      <c r="D173" s="22"/>
      <c r="E173" s="22"/>
      <c r="F173" s="22"/>
      <c r="G173" s="22"/>
      <c r="H173" s="22"/>
      <c r="I173" s="22"/>
      <c r="J173" s="22"/>
      <c r="K173" s="22"/>
    </row>
    <row r="174" spans="2:11" x14ac:dyDescent="0.2">
      <c r="B174" s="22"/>
      <c r="C174" s="22"/>
      <c r="D174" s="22"/>
      <c r="E174" s="22"/>
      <c r="F174" s="22"/>
      <c r="G174" s="22"/>
      <c r="H174" s="22"/>
      <c r="I174" s="22"/>
      <c r="J174" s="22"/>
      <c r="K174" s="22"/>
    </row>
    <row r="175" spans="2:11" x14ac:dyDescent="0.2">
      <c r="B175" s="22"/>
      <c r="C175" s="22"/>
      <c r="D175" s="22"/>
      <c r="E175" s="22"/>
      <c r="F175" s="22"/>
      <c r="G175" s="22"/>
      <c r="H175" s="22"/>
      <c r="I175" s="22"/>
      <c r="J175" s="22"/>
      <c r="K175" s="22"/>
    </row>
    <row r="176" spans="2:11" x14ac:dyDescent="0.2">
      <c r="B176" s="22"/>
      <c r="C176" s="22"/>
      <c r="D176" s="22"/>
      <c r="E176" s="22"/>
      <c r="F176" s="22"/>
      <c r="G176" s="22"/>
      <c r="H176" s="22"/>
      <c r="I176" s="22"/>
      <c r="J176" s="22"/>
      <c r="K176" s="22"/>
    </row>
    <row r="177" spans="2:11" x14ac:dyDescent="0.2">
      <c r="B177" s="22"/>
      <c r="C177" s="22"/>
      <c r="D177" s="22"/>
      <c r="E177" s="22"/>
      <c r="F177" s="22"/>
      <c r="G177" s="22"/>
      <c r="H177" s="22"/>
      <c r="I177" s="22"/>
      <c r="J177" s="22"/>
      <c r="K177" s="22"/>
    </row>
    <row r="178" spans="2:11" x14ac:dyDescent="0.2">
      <c r="B178" s="22"/>
      <c r="C178" s="22"/>
      <c r="D178" s="22"/>
      <c r="E178" s="22"/>
      <c r="F178" s="22"/>
      <c r="G178" s="22"/>
      <c r="H178" s="22"/>
      <c r="I178" s="22"/>
      <c r="J178" s="22"/>
      <c r="K178" s="22"/>
    </row>
    <row r="179" spans="2:11" x14ac:dyDescent="0.2">
      <c r="B179" s="22"/>
      <c r="C179" s="22"/>
      <c r="D179" s="22"/>
      <c r="E179" s="22"/>
      <c r="F179" s="22"/>
      <c r="G179" s="22"/>
      <c r="H179" s="22"/>
      <c r="I179" s="22"/>
      <c r="J179" s="22"/>
      <c r="K179" s="22"/>
    </row>
  </sheetData>
  <mergeCells count="1">
    <mergeCell ref="A1:D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BD37-0F36-4270-8E97-B0E9198E3730}">
  <sheetPr codeName="Sheet4"/>
  <dimension ref="A1:J31"/>
  <sheetViews>
    <sheetView tabSelected="1" workbookViewId="0">
      <selection activeCell="X8" sqref="X8"/>
    </sheetView>
  </sheetViews>
  <sheetFormatPr defaultRowHeight="15" x14ac:dyDescent="0.25"/>
  <sheetData>
    <row r="1" spans="1:10" x14ac:dyDescent="0.25">
      <c r="A1" s="4" t="s">
        <v>54</v>
      </c>
    </row>
    <row r="2" spans="1:10" x14ac:dyDescent="0.25">
      <c r="A2" s="4" t="s">
        <v>55</v>
      </c>
    </row>
    <row r="3" spans="1:10" x14ac:dyDescent="0.25">
      <c r="A3" s="4" t="s">
        <v>56</v>
      </c>
    </row>
    <row r="4" spans="1:10" x14ac:dyDescent="0.25">
      <c r="A4" s="4" t="s">
        <v>117</v>
      </c>
      <c r="B4">
        <v>0.3</v>
      </c>
      <c r="C4" t="s">
        <v>10</v>
      </c>
      <c r="F4" s="25"/>
    </row>
    <row r="6" spans="1:10" x14ac:dyDescent="0.25">
      <c r="A6" s="4" t="s">
        <v>58</v>
      </c>
      <c r="B6" t="s">
        <v>57</v>
      </c>
      <c r="C6" t="s">
        <v>59</v>
      </c>
      <c r="D6" t="s">
        <v>60</v>
      </c>
      <c r="E6" t="s">
        <v>61</v>
      </c>
      <c r="F6" t="s">
        <v>62</v>
      </c>
      <c r="G6" t="s">
        <v>63</v>
      </c>
      <c r="H6" t="s">
        <v>64</v>
      </c>
      <c r="I6" t="s">
        <v>65</v>
      </c>
    </row>
    <row r="7" spans="1:10" x14ac:dyDescent="0.25">
      <c r="A7">
        <v>1</v>
      </c>
      <c r="B7">
        <v>265</v>
      </c>
      <c r="C7">
        <f>B7</f>
        <v>265</v>
      </c>
      <c r="D7">
        <f>C7-B7</f>
        <v>0</v>
      </c>
      <c r="E7" cm="1">
        <f t="array" ref="E7">I_TEC($B$4,D7)</f>
        <v>3.2689027856736781E-2</v>
      </c>
      <c r="F7" cm="1">
        <f t="array" ref="F7">V_TEC(E7)</f>
        <v>0.15702671972711771</v>
      </c>
      <c r="G7">
        <f>E7*F7</f>
        <v>5.1330508154117495E-3</v>
      </c>
      <c r="H7">
        <f>G7+$B$4</f>
        <v>0.30513305081541175</v>
      </c>
      <c r="I7" cm="1">
        <f t="array" ref="I7">tempRad(H7)</f>
        <v>266</v>
      </c>
    </row>
    <row r="8" spans="1:10" x14ac:dyDescent="0.25">
      <c r="A8">
        <v>2</v>
      </c>
      <c r="B8">
        <f>B7</f>
        <v>265</v>
      </c>
      <c r="C8" cm="1">
        <f t="array" ref="C8">tempDetector(I7,$B$4)</f>
        <v>270.88235294117652</v>
      </c>
      <c r="D8">
        <f t="shared" ref="D8" si="0">C8-B8</f>
        <v>5.8823529411765207</v>
      </c>
      <c r="E8" cm="1">
        <f t="array" ref="E8">I_TEC($B$4,D8)</f>
        <v>0.16760015079802565</v>
      </c>
      <c r="F8" cm="1">
        <f t="array" ref="F8">V_TEC(E8)</f>
        <v>1.1371850742251908</v>
      </c>
      <c r="G8">
        <f>E8*F8</f>
        <v>0.19059238992540598</v>
      </c>
      <c r="H8">
        <f t="shared" ref="H8:H19" si="1">G8+$B$4</f>
        <v>0.49059238992540599</v>
      </c>
      <c r="I8" cm="1">
        <f t="array" ref="I8">tempRad(H8)</f>
        <v>267</v>
      </c>
    </row>
    <row r="9" spans="1:10" x14ac:dyDescent="0.25">
      <c r="A9">
        <v>3</v>
      </c>
      <c r="B9">
        <f t="shared" ref="B9:B19" si="2">B8</f>
        <v>265</v>
      </c>
      <c r="C9" cm="1">
        <f t="array" ref="C9">tempDetector(I8,$B$4)</f>
        <v>271.76470588235298</v>
      </c>
      <c r="D9">
        <f t="shared" ref="D9:D19" si="3">C9-B9</f>
        <v>6.7647058823529846</v>
      </c>
      <c r="E9" cm="1">
        <f t="array" ref="E9">I_TEC($B$4,D9)</f>
        <v>0.18293346506070821</v>
      </c>
      <c r="F9" cm="1">
        <f t="array" ref="F9">V_TEC(E9)</f>
        <v>1.1862890131526753</v>
      </c>
      <c r="G9">
        <f t="shared" ref="G9:G19" si="4">E9*F9</f>
        <v>0.21701195973946694</v>
      </c>
      <c r="H9">
        <f t="shared" si="1"/>
        <v>0.5170119597394669</v>
      </c>
      <c r="I9" cm="1">
        <f t="array" ref="I9">tempRad(H9)</f>
        <v>267.25</v>
      </c>
    </row>
    <row r="10" spans="1:10" x14ac:dyDescent="0.25">
      <c r="A10">
        <v>4</v>
      </c>
      <c r="B10">
        <f t="shared" si="2"/>
        <v>265</v>
      </c>
      <c r="C10" cm="1">
        <f t="array" ref="C10">tempDetector(I9,$B$4)</f>
        <v>271.98529411764713</v>
      </c>
      <c r="D10">
        <f t="shared" si="3"/>
        <v>6.985294117647129</v>
      </c>
      <c r="E10" cm="1">
        <f t="array" ref="E10">I_TEC($B$4,D10)</f>
        <v>0.18676679362637935</v>
      </c>
      <c r="F10" cm="1">
        <f t="array" ref="F10">V_TEC(E10)</f>
        <v>1.1985649978845481</v>
      </c>
      <c r="G10">
        <f t="shared" si="4"/>
        <v>0.2238521416077052</v>
      </c>
      <c r="H10">
        <f t="shared" si="1"/>
        <v>0.52385214160770521</v>
      </c>
      <c r="I10" cm="1">
        <f t="array" ref="I10">tempRad(H10)</f>
        <v>267.25</v>
      </c>
    </row>
    <row r="11" spans="1:10" x14ac:dyDescent="0.25">
      <c r="A11">
        <v>5</v>
      </c>
      <c r="B11">
        <f t="shared" si="2"/>
        <v>265</v>
      </c>
      <c r="C11" cm="1">
        <f t="array" ref="C11">tempDetector(I10,$B$4)</f>
        <v>271.98529411764713</v>
      </c>
      <c r="D11">
        <f t="shared" si="3"/>
        <v>6.985294117647129</v>
      </c>
      <c r="E11" cm="1">
        <f t="array" ref="E11">I_TEC($B$4,D11)</f>
        <v>0.18676679362637935</v>
      </c>
      <c r="F11" cm="1">
        <f t="array" ref="F11">V_TEC(E11)</f>
        <v>1.1985649978845481</v>
      </c>
      <c r="G11">
        <f t="shared" si="4"/>
        <v>0.2238521416077052</v>
      </c>
      <c r="H11">
        <f t="shared" si="1"/>
        <v>0.52385214160770521</v>
      </c>
      <c r="I11" cm="1">
        <f t="array" ref="I11">tempRad(H11)</f>
        <v>267.25</v>
      </c>
    </row>
    <row r="12" spans="1:10" x14ac:dyDescent="0.25">
      <c r="A12">
        <v>6</v>
      </c>
      <c r="B12">
        <f t="shared" si="2"/>
        <v>265</v>
      </c>
      <c r="C12" cm="1">
        <f t="array" ref="C12">tempDetector(I11,$B$4)</f>
        <v>271.98529411764713</v>
      </c>
      <c r="D12">
        <f t="shared" si="3"/>
        <v>6.985294117647129</v>
      </c>
      <c r="E12" cm="1">
        <f t="array" ref="E12">I_TEC($B$4,D12)</f>
        <v>0.18676679362637935</v>
      </c>
      <c r="F12" cm="1">
        <f t="array" ref="F12">V_TEC(E12)</f>
        <v>1.1985649978845481</v>
      </c>
      <c r="G12">
        <f t="shared" si="4"/>
        <v>0.2238521416077052</v>
      </c>
      <c r="H12">
        <f t="shared" si="1"/>
        <v>0.52385214160770521</v>
      </c>
      <c r="I12" cm="1">
        <f t="array" ref="I12">tempRad(H12)</f>
        <v>267.25</v>
      </c>
      <c r="J12" s="4"/>
    </row>
    <row r="13" spans="1:10" x14ac:dyDescent="0.25">
      <c r="A13">
        <v>7</v>
      </c>
      <c r="B13">
        <f t="shared" si="2"/>
        <v>265</v>
      </c>
      <c r="C13" cm="1">
        <f t="array" ref="C13">tempDetector(I12,$B$4)</f>
        <v>271.98529411764713</v>
      </c>
      <c r="D13">
        <f t="shared" si="3"/>
        <v>6.985294117647129</v>
      </c>
      <c r="E13" cm="1">
        <f t="array" ref="E13">I_TEC($B$4,D13)</f>
        <v>0.18676679362637935</v>
      </c>
      <c r="F13" cm="1">
        <f t="array" ref="F13">V_TEC(E13)</f>
        <v>1.1985649978845481</v>
      </c>
      <c r="G13">
        <f t="shared" si="4"/>
        <v>0.2238521416077052</v>
      </c>
      <c r="H13">
        <f t="shared" si="1"/>
        <v>0.52385214160770521</v>
      </c>
      <c r="I13" cm="1">
        <f t="array" ref="I13">tempRad(H13)</f>
        <v>267.25</v>
      </c>
    </row>
    <row r="14" spans="1:10" x14ac:dyDescent="0.25">
      <c r="A14">
        <v>8</v>
      </c>
      <c r="B14">
        <f t="shared" si="2"/>
        <v>265</v>
      </c>
      <c r="C14" cm="1">
        <f t="array" ref="C14">tempDetector(I13,$B$4)</f>
        <v>271.98529411764713</v>
      </c>
      <c r="D14">
        <f t="shared" si="3"/>
        <v>6.985294117647129</v>
      </c>
      <c r="E14" cm="1">
        <f t="array" ref="E14">I_TEC($B$4,D14)</f>
        <v>0.18676679362637935</v>
      </c>
      <c r="F14" cm="1">
        <f t="array" ref="F14">V_TEC(E14)</f>
        <v>1.1985649978845481</v>
      </c>
      <c r="G14">
        <f t="shared" si="4"/>
        <v>0.2238521416077052</v>
      </c>
      <c r="H14">
        <f t="shared" si="1"/>
        <v>0.52385214160770521</v>
      </c>
      <c r="I14" cm="1">
        <f t="array" ref="I14">tempRad(H14)</f>
        <v>267.25</v>
      </c>
    </row>
    <row r="15" spans="1:10" x14ac:dyDescent="0.25">
      <c r="A15">
        <v>9</v>
      </c>
      <c r="B15">
        <f t="shared" si="2"/>
        <v>265</v>
      </c>
      <c r="C15" cm="1">
        <f t="array" ref="C15">tempDetector(I14,$B$4)</f>
        <v>271.98529411764713</v>
      </c>
      <c r="D15">
        <f t="shared" si="3"/>
        <v>6.985294117647129</v>
      </c>
      <c r="E15" cm="1">
        <f t="array" ref="E15">I_TEC($B$4,D15)</f>
        <v>0.18676679362637935</v>
      </c>
      <c r="F15" cm="1">
        <f t="array" ref="F15">V_TEC(E15)</f>
        <v>1.1985649978845481</v>
      </c>
      <c r="G15">
        <f t="shared" si="4"/>
        <v>0.2238521416077052</v>
      </c>
      <c r="H15">
        <f t="shared" si="1"/>
        <v>0.52385214160770521</v>
      </c>
      <c r="I15" cm="1">
        <f t="array" ref="I15">tempRad(H15)</f>
        <v>267.25</v>
      </c>
    </row>
    <row r="16" spans="1:10" x14ac:dyDescent="0.25">
      <c r="A16">
        <v>10</v>
      </c>
      <c r="B16">
        <f t="shared" si="2"/>
        <v>265</v>
      </c>
      <c r="C16" cm="1">
        <f t="array" ref="C16">tempDetector(I15,$B$4)</f>
        <v>271.98529411764713</v>
      </c>
      <c r="D16">
        <f t="shared" si="3"/>
        <v>6.985294117647129</v>
      </c>
      <c r="E16" cm="1">
        <f t="array" ref="E16">I_TEC($B$4,D16)</f>
        <v>0.18676679362637935</v>
      </c>
      <c r="F16" cm="1">
        <f t="array" ref="F16">V_TEC(E16)</f>
        <v>1.1985649978845481</v>
      </c>
      <c r="G16">
        <f t="shared" si="4"/>
        <v>0.2238521416077052</v>
      </c>
      <c r="H16">
        <f t="shared" si="1"/>
        <v>0.52385214160770521</v>
      </c>
      <c r="I16" cm="1">
        <f t="array" ref="I16">tempRad(H16)</f>
        <v>267.25</v>
      </c>
    </row>
    <row r="17" spans="1:9" x14ac:dyDescent="0.25">
      <c r="A17">
        <v>11</v>
      </c>
      <c r="B17">
        <f t="shared" si="2"/>
        <v>265</v>
      </c>
      <c r="C17" cm="1">
        <f t="array" ref="C17">tempDetector(I16,$B$4)</f>
        <v>271.98529411764713</v>
      </c>
      <c r="D17">
        <f t="shared" si="3"/>
        <v>6.985294117647129</v>
      </c>
      <c r="E17" cm="1">
        <f t="array" ref="E17">I_TEC($B$4,D17)</f>
        <v>0.18676679362637935</v>
      </c>
      <c r="F17" cm="1">
        <f t="array" ref="F17">V_TEC(E17)</f>
        <v>1.1985649978845481</v>
      </c>
      <c r="G17">
        <f t="shared" si="4"/>
        <v>0.2238521416077052</v>
      </c>
      <c r="H17">
        <f t="shared" si="1"/>
        <v>0.52385214160770521</v>
      </c>
      <c r="I17" cm="1">
        <f t="array" ref="I17">tempRad(H17)</f>
        <v>267.25</v>
      </c>
    </row>
    <row r="18" spans="1:9" x14ac:dyDescent="0.25">
      <c r="A18">
        <v>12</v>
      </c>
      <c r="B18">
        <f t="shared" si="2"/>
        <v>265</v>
      </c>
      <c r="C18" cm="1">
        <f t="array" ref="C18">tempDetector(I17,$B$4)</f>
        <v>271.98529411764713</v>
      </c>
      <c r="D18">
        <f t="shared" si="3"/>
        <v>6.985294117647129</v>
      </c>
      <c r="E18" cm="1">
        <f t="array" ref="E18">I_TEC($B$4,D18)</f>
        <v>0.18676679362637935</v>
      </c>
      <c r="F18" cm="1">
        <f t="array" ref="F18">V_TEC(E18)</f>
        <v>1.1985649978845481</v>
      </c>
      <c r="G18">
        <f t="shared" si="4"/>
        <v>0.2238521416077052</v>
      </c>
      <c r="H18">
        <f t="shared" si="1"/>
        <v>0.52385214160770521</v>
      </c>
      <c r="I18" cm="1">
        <f t="array" ref="I18">tempRad(H18)</f>
        <v>267.25</v>
      </c>
    </row>
    <row r="19" spans="1:9" x14ac:dyDescent="0.25">
      <c r="A19">
        <v>13</v>
      </c>
      <c r="B19">
        <f t="shared" si="2"/>
        <v>265</v>
      </c>
      <c r="C19" cm="1">
        <f t="array" ref="C19">tempDetector(I18,$B$4)</f>
        <v>271.98529411764713</v>
      </c>
      <c r="D19">
        <f t="shared" si="3"/>
        <v>6.985294117647129</v>
      </c>
      <c r="E19" cm="1">
        <f t="array" ref="E19">I_TEC($B$4,D19)</f>
        <v>0.18676679362637935</v>
      </c>
      <c r="F19" cm="1">
        <f t="array" ref="F19">V_TEC(E19)</f>
        <v>1.1985649978845481</v>
      </c>
      <c r="G19">
        <f t="shared" si="4"/>
        <v>0.2238521416077052</v>
      </c>
      <c r="H19">
        <f t="shared" si="1"/>
        <v>0.52385214160770521</v>
      </c>
      <c r="I19" cm="1">
        <f t="array" ref="I19">tempRad(H19)</f>
        <v>267.25</v>
      </c>
    </row>
    <row r="21" spans="1:9" x14ac:dyDescent="0.25">
      <c r="A21" t="s">
        <v>118</v>
      </c>
    </row>
    <row r="22" spans="1:9" x14ac:dyDescent="0.25">
      <c r="A22">
        <v>0</v>
      </c>
      <c r="B22">
        <f>B7</f>
        <v>265</v>
      </c>
    </row>
    <row r="23" spans="1:9" x14ac:dyDescent="0.25">
      <c r="A23">
        <v>1</v>
      </c>
      <c r="B23">
        <f>MAX(C7:C19)</f>
        <v>271.98529411764713</v>
      </c>
    </row>
    <row r="24" spans="1:9" x14ac:dyDescent="0.25">
      <c r="A24">
        <v>3</v>
      </c>
      <c r="B24">
        <f>MAX(I7:I19)</f>
        <v>267.25</v>
      </c>
    </row>
    <row r="30" spans="1:9" x14ac:dyDescent="0.25">
      <c r="C30" t="s">
        <v>119</v>
      </c>
      <c r="D30">
        <f>MAX(C7:C19)-MAX(I7:I19)</f>
        <v>4.735294117647129</v>
      </c>
    </row>
    <row r="31" spans="1:9" x14ac:dyDescent="0.25">
      <c r="C31" t="s">
        <v>120</v>
      </c>
      <c r="D31">
        <f>MAX(D7:D19)</f>
        <v>6.985294117647129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13D60-D22D-4424-BFC0-2D23AD03768C}">
  <sheetPr codeName="Sheet3"/>
  <dimension ref="A1:Q37"/>
  <sheetViews>
    <sheetView workbookViewId="0">
      <selection activeCell="T36" sqref="T36"/>
    </sheetView>
  </sheetViews>
  <sheetFormatPr defaultRowHeight="15" x14ac:dyDescent="0.25"/>
  <cols>
    <col min="1" max="1" width="13.140625" customWidth="1"/>
    <col min="3" max="3" width="16.85546875" bestFit="1" customWidth="1"/>
    <col min="4" max="4" width="16.85546875" customWidth="1"/>
    <col min="5" max="5" width="11" bestFit="1" customWidth="1"/>
  </cols>
  <sheetData>
    <row r="1" spans="1:17" x14ac:dyDescent="0.25">
      <c r="A1" t="s">
        <v>49</v>
      </c>
    </row>
    <row r="3" spans="1:17" x14ac:dyDescent="0.25">
      <c r="A3" s="1" t="s">
        <v>50</v>
      </c>
      <c r="B3" s="1" t="s">
        <v>51</v>
      </c>
      <c r="C3" t="s">
        <v>52</v>
      </c>
      <c r="D3" t="s">
        <v>53</v>
      </c>
    </row>
    <row r="4" spans="1:17" x14ac:dyDescent="0.25">
      <c r="A4">
        <v>90</v>
      </c>
      <c r="B4">
        <f>A4*PI()/180</f>
        <v>1.5707963267948966</v>
      </c>
      <c r="C4">
        <f t="shared" ref="C4:C13" si="0">ROUND(ABS(solar*0.65*absorp*COS(B4)),2)*A_2U</f>
        <v>0</v>
      </c>
      <c r="D4" cm="1">
        <f t="array" ref="D4">TREND(F17:F18,H17:H18,0,TRUE)</f>
        <v>266.25991256083813</v>
      </c>
      <c r="F4" t="s">
        <v>45</v>
      </c>
      <c r="G4" t="s">
        <v>46</v>
      </c>
      <c r="H4">
        <v>90</v>
      </c>
      <c r="I4">
        <v>100</v>
      </c>
      <c r="J4">
        <v>110</v>
      </c>
      <c r="K4">
        <v>120</v>
      </c>
      <c r="L4">
        <v>130</v>
      </c>
      <c r="M4">
        <v>140</v>
      </c>
      <c r="N4">
        <v>150</v>
      </c>
      <c r="O4">
        <v>160</v>
      </c>
      <c r="P4">
        <v>170</v>
      </c>
      <c r="Q4">
        <v>180</v>
      </c>
    </row>
    <row r="5" spans="1:17" x14ac:dyDescent="0.25">
      <c r="A5">
        <v>100</v>
      </c>
      <c r="B5">
        <f t="shared" ref="B5:B13" si="1">A5*PI()/180</f>
        <v>1.7453292519943295</v>
      </c>
      <c r="C5">
        <f t="shared" si="0"/>
        <v>0.3401904</v>
      </c>
      <c r="D5" cm="1">
        <f t="array" ref="D5">TREND(F18:F19,I18:I19,0,TRUE)</f>
        <v>268.72653063893137</v>
      </c>
      <c r="F5">
        <v>200</v>
      </c>
      <c r="G5">
        <f t="shared" ref="G5:G37" si="2">(R_bus*R_SO)/(R_bus+R_SO)*(F5/R_bus+T_B/R_SO+q_D)</f>
        <v>212.70595179947424</v>
      </c>
      <c r="H5">
        <f t="shared" ref="H5:Q14" si="3">sigma*(T_earth^4-$F5^4)/(R_surf_2U+R_earth_2U)-sigma*$F5^4/(R_surf_2U+R_space_2U)+(T_B-$F5)/R_SO+($G5-$F5)/R_bus+A_2U*albedo*absorp*F_earth*solar+ABS(absorp*solar*0.65*A_2U*COS(H$4*PI()/180))</f>
        <v>7.7113718556721977</v>
      </c>
      <c r="I5">
        <f t="shared" si="3"/>
        <v>8.0515443292469087</v>
      </c>
      <c r="J5">
        <f t="shared" si="3"/>
        <v>8.3813808343476275</v>
      </c>
      <c r="K5">
        <f t="shared" si="3"/>
        <v>8.6908594556721965</v>
      </c>
      <c r="L5">
        <f t="shared" si="3"/>
        <v>8.9705768419154079</v>
      </c>
      <c r="M5">
        <f t="shared" si="3"/>
        <v>9.2120339218400868</v>
      </c>
      <c r="N5">
        <f t="shared" si="3"/>
        <v>9.4078941442558985</v>
      </c>
      <c r="O5">
        <f t="shared" si="3"/>
        <v>9.552206395414796</v>
      </c>
      <c r="P5">
        <f t="shared" si="3"/>
        <v>9.6405858205908395</v>
      </c>
      <c r="Q5">
        <f t="shared" si="3"/>
        <v>9.6703470556721971</v>
      </c>
    </row>
    <row r="6" spans="1:17" x14ac:dyDescent="0.25">
      <c r="A6">
        <v>110</v>
      </c>
      <c r="B6">
        <f t="shared" si="1"/>
        <v>1.9198621771937625</v>
      </c>
      <c r="C6">
        <f t="shared" si="0"/>
        <v>0.670072</v>
      </c>
      <c r="D6" cm="1">
        <f t="array" ref="D6">TREND(F18:F19,J18:J19,0,TRUE)</f>
        <v>271.14826363360146</v>
      </c>
      <c r="F6">
        <v>205</v>
      </c>
      <c r="G6">
        <f t="shared" si="2"/>
        <v>217.11771650535661</v>
      </c>
      <c r="H6">
        <f t="shared" si="3"/>
        <v>7.2027866614508493</v>
      </c>
      <c r="I6">
        <f t="shared" si="3"/>
        <v>7.5429591350255594</v>
      </c>
      <c r="J6">
        <f t="shared" si="3"/>
        <v>7.87279564012628</v>
      </c>
      <c r="K6">
        <f t="shared" si="3"/>
        <v>8.1822742614508481</v>
      </c>
      <c r="L6">
        <f t="shared" si="3"/>
        <v>8.4619916476940595</v>
      </c>
      <c r="M6">
        <f t="shared" si="3"/>
        <v>8.7034487276187384</v>
      </c>
      <c r="N6">
        <f t="shared" si="3"/>
        <v>8.8993089500345519</v>
      </c>
      <c r="O6">
        <f t="shared" si="3"/>
        <v>9.0436212011934476</v>
      </c>
      <c r="P6">
        <f t="shared" si="3"/>
        <v>9.1320006263694893</v>
      </c>
      <c r="Q6">
        <f t="shared" si="3"/>
        <v>9.1617618614508487</v>
      </c>
    </row>
    <row r="7" spans="1:17" x14ac:dyDescent="0.25">
      <c r="A7">
        <v>120</v>
      </c>
      <c r="B7">
        <f t="shared" si="1"/>
        <v>2.0943951023931953</v>
      </c>
      <c r="C7">
        <f t="shared" si="0"/>
        <v>0.97948760000000001</v>
      </c>
      <c r="D7" cm="1">
        <f t="array" ref="D7">TREND(F19:F20,K19:K20,0,TRUE)</f>
        <v>273.33532275548322</v>
      </c>
      <c r="F7">
        <v>210</v>
      </c>
      <c r="G7">
        <f t="shared" si="2"/>
        <v>221.52948121123896</v>
      </c>
      <c r="H7">
        <f t="shared" si="3"/>
        <v>6.6841726064818188</v>
      </c>
      <c r="I7">
        <f t="shared" si="3"/>
        <v>7.0243450800565288</v>
      </c>
      <c r="J7">
        <f t="shared" si="3"/>
        <v>7.3541815851572494</v>
      </c>
      <c r="K7">
        <f t="shared" si="3"/>
        <v>7.6636602064818184</v>
      </c>
      <c r="L7">
        <f t="shared" si="3"/>
        <v>7.943377592725029</v>
      </c>
      <c r="M7">
        <f t="shared" si="3"/>
        <v>8.184834672649707</v>
      </c>
      <c r="N7">
        <f t="shared" si="3"/>
        <v>8.3806948950655205</v>
      </c>
      <c r="O7">
        <f t="shared" si="3"/>
        <v>8.5250071462244179</v>
      </c>
      <c r="P7">
        <f t="shared" si="3"/>
        <v>8.6133865714004596</v>
      </c>
      <c r="Q7">
        <f t="shared" si="3"/>
        <v>8.643147806481819</v>
      </c>
    </row>
    <row r="8" spans="1:17" x14ac:dyDescent="0.25">
      <c r="A8">
        <v>130</v>
      </c>
      <c r="B8">
        <f t="shared" si="1"/>
        <v>2.2689280275926285</v>
      </c>
      <c r="C8">
        <f t="shared" si="0"/>
        <v>1.2591896</v>
      </c>
      <c r="D8" cm="1">
        <f t="array" ref="D8">TREND(F19:F20,L19:L20,0,TRUE)</f>
        <v>275.33791328965134</v>
      </c>
      <c r="F8">
        <v>215</v>
      </c>
      <c r="G8">
        <f t="shared" si="2"/>
        <v>225.94124591712131</v>
      </c>
      <c r="H8">
        <f t="shared" si="3"/>
        <v>6.1550345611277235</v>
      </c>
      <c r="I8">
        <f t="shared" si="3"/>
        <v>6.4952070347024335</v>
      </c>
      <c r="J8">
        <f t="shared" si="3"/>
        <v>6.8250435398031541</v>
      </c>
      <c r="K8">
        <f t="shared" si="3"/>
        <v>7.1345221611277232</v>
      </c>
      <c r="L8">
        <f t="shared" si="3"/>
        <v>7.4142395473709337</v>
      </c>
      <c r="M8">
        <f t="shared" si="3"/>
        <v>7.6556966272956117</v>
      </c>
      <c r="N8">
        <f t="shared" si="3"/>
        <v>7.8515568497114252</v>
      </c>
      <c r="O8">
        <f t="shared" si="3"/>
        <v>7.9958691008703227</v>
      </c>
      <c r="P8">
        <f t="shared" si="3"/>
        <v>8.0842485260463643</v>
      </c>
      <c r="Q8">
        <f t="shared" si="3"/>
        <v>8.1140097611277238</v>
      </c>
    </row>
    <row r="9" spans="1:17" x14ac:dyDescent="0.25">
      <c r="A9">
        <v>140</v>
      </c>
      <c r="B9">
        <f t="shared" si="1"/>
        <v>2.4434609527920612</v>
      </c>
      <c r="C9">
        <f t="shared" si="0"/>
        <v>1.5006883999999998</v>
      </c>
      <c r="D9" cm="1">
        <f t="array" ref="D9">TREND(F19:F20,M19:M20,0,TRUE)</f>
        <v>277.06658546537597</v>
      </c>
      <c r="F9">
        <v>220</v>
      </c>
      <c r="G9">
        <f t="shared" si="2"/>
        <v>230.35301062300366</v>
      </c>
      <c r="H9">
        <f t="shared" si="3"/>
        <v>5.6148654649165399</v>
      </c>
      <c r="I9">
        <f t="shared" si="3"/>
        <v>5.95503793849125</v>
      </c>
      <c r="J9">
        <f t="shared" si="3"/>
        <v>6.2848744435919706</v>
      </c>
      <c r="K9">
        <f t="shared" si="3"/>
        <v>6.5943530649165396</v>
      </c>
      <c r="L9">
        <f t="shared" si="3"/>
        <v>6.8740704511597501</v>
      </c>
      <c r="M9">
        <f t="shared" si="3"/>
        <v>7.1155275310844281</v>
      </c>
      <c r="N9">
        <f t="shared" si="3"/>
        <v>7.3113877535002416</v>
      </c>
      <c r="O9">
        <f t="shared" si="3"/>
        <v>7.4557000046591391</v>
      </c>
      <c r="P9">
        <f t="shared" si="3"/>
        <v>7.5440794298351808</v>
      </c>
      <c r="Q9">
        <f t="shared" si="3"/>
        <v>7.5738406649165402</v>
      </c>
    </row>
    <row r="10" spans="1:17" x14ac:dyDescent="0.25">
      <c r="A10">
        <v>150</v>
      </c>
      <c r="B10">
        <f t="shared" si="1"/>
        <v>2.6179938779914944</v>
      </c>
      <c r="C10">
        <f t="shared" si="0"/>
        <v>1.6965555999999999</v>
      </c>
      <c r="D10" cm="1">
        <f t="array" ref="D10">TREND(F20:F21,N20:N21,0,TRUE)</f>
        <v>278.38143803006903</v>
      </c>
      <c r="F10">
        <v>225</v>
      </c>
      <c r="G10">
        <f t="shared" si="2"/>
        <v>234.764775328886</v>
      </c>
      <c r="H10">
        <f t="shared" si="3"/>
        <v>5.0631463265416086</v>
      </c>
      <c r="I10">
        <f t="shared" si="3"/>
        <v>5.4033188001163186</v>
      </c>
      <c r="J10">
        <f t="shared" si="3"/>
        <v>5.7331553052170392</v>
      </c>
      <c r="K10">
        <f t="shared" si="3"/>
        <v>6.0426339265416082</v>
      </c>
      <c r="L10">
        <f t="shared" si="3"/>
        <v>6.3223513127848188</v>
      </c>
      <c r="M10">
        <f t="shared" si="3"/>
        <v>6.5638083927094968</v>
      </c>
      <c r="N10">
        <f t="shared" si="3"/>
        <v>6.7596686151253103</v>
      </c>
      <c r="O10">
        <f t="shared" si="3"/>
        <v>6.9039808662842077</v>
      </c>
      <c r="P10">
        <f t="shared" si="3"/>
        <v>6.9923602914602494</v>
      </c>
      <c r="Q10">
        <f t="shared" si="3"/>
        <v>7.0221215265416088</v>
      </c>
    </row>
    <row r="11" spans="1:17" x14ac:dyDescent="0.25">
      <c r="A11">
        <v>160</v>
      </c>
      <c r="B11">
        <f t="shared" si="1"/>
        <v>2.7925268031909272</v>
      </c>
      <c r="C11">
        <f t="shared" si="0"/>
        <v>1.8408788</v>
      </c>
      <c r="D11" cm="1">
        <f t="array" ref="D11">TREND(F20:F21,O20:O21,0,TRUE)</f>
        <v>279.38859291069986</v>
      </c>
      <c r="F11">
        <v>230</v>
      </c>
      <c r="G11">
        <f t="shared" si="2"/>
        <v>239.17654003476838</v>
      </c>
      <c r="H11">
        <f t="shared" si="3"/>
        <v>4.4993462238616386</v>
      </c>
      <c r="I11">
        <f t="shared" si="3"/>
        <v>4.8395186974363487</v>
      </c>
      <c r="J11">
        <f t="shared" si="3"/>
        <v>5.1693552025370693</v>
      </c>
      <c r="K11">
        <f t="shared" si="3"/>
        <v>5.4788338238616383</v>
      </c>
      <c r="L11">
        <f t="shared" si="3"/>
        <v>5.7585512101048488</v>
      </c>
      <c r="M11">
        <f t="shared" si="3"/>
        <v>6.0000082900295268</v>
      </c>
      <c r="N11">
        <f t="shared" si="3"/>
        <v>6.1958685124453403</v>
      </c>
      <c r="O11">
        <f t="shared" si="3"/>
        <v>6.3401807636042378</v>
      </c>
      <c r="P11">
        <f t="shared" si="3"/>
        <v>6.4285601887802795</v>
      </c>
      <c r="Q11">
        <f t="shared" si="3"/>
        <v>6.4583214238616389</v>
      </c>
    </row>
    <row r="12" spans="1:17" x14ac:dyDescent="0.25">
      <c r="A12">
        <v>170</v>
      </c>
      <c r="B12">
        <f t="shared" si="1"/>
        <v>2.9670597283903604</v>
      </c>
      <c r="C12">
        <f t="shared" si="0"/>
        <v>1.9292616</v>
      </c>
      <c r="D12" cm="1">
        <f t="array" ref="D12">TREND(F20:F21,P20:P21,0,TRUE)</f>
        <v>280.0053927229028</v>
      </c>
      <c r="F12">
        <v>235</v>
      </c>
      <c r="G12">
        <f t="shared" si="2"/>
        <v>243.58830474065073</v>
      </c>
      <c r="H12">
        <f t="shared" si="3"/>
        <v>3.9229223039006822</v>
      </c>
      <c r="I12">
        <f t="shared" si="3"/>
        <v>4.2630947774753922</v>
      </c>
      <c r="J12">
        <f t="shared" si="3"/>
        <v>4.5929312825761128</v>
      </c>
      <c r="K12">
        <f t="shared" si="3"/>
        <v>4.9024099039006819</v>
      </c>
      <c r="L12">
        <f t="shared" si="3"/>
        <v>5.1821272901438924</v>
      </c>
      <c r="M12">
        <f t="shared" si="3"/>
        <v>5.4235843700685704</v>
      </c>
      <c r="N12">
        <f t="shared" si="3"/>
        <v>5.6194445924843839</v>
      </c>
      <c r="O12">
        <f t="shared" si="3"/>
        <v>5.7637568436432813</v>
      </c>
      <c r="P12">
        <f t="shared" si="3"/>
        <v>5.852136268819323</v>
      </c>
      <c r="Q12">
        <f t="shared" si="3"/>
        <v>5.8818975039006824</v>
      </c>
    </row>
    <row r="13" spans="1:17" ht="14.25" customHeight="1" x14ac:dyDescent="0.25">
      <c r="A13">
        <v>180</v>
      </c>
      <c r="B13">
        <f t="shared" si="1"/>
        <v>3.1415926535897931</v>
      </c>
      <c r="C13">
        <f t="shared" si="0"/>
        <v>1.9589752</v>
      </c>
      <c r="D13" cm="1">
        <f t="array" ref="D13">TREND(F20:F21,Q20:Q21,0,TRUE)</f>
        <v>280.2130963164999</v>
      </c>
      <c r="F13">
        <v>240</v>
      </c>
      <c r="G13">
        <f t="shared" si="2"/>
        <v>248.00006944653308</v>
      </c>
      <c r="H13">
        <f t="shared" si="3"/>
        <v>3.3333197828481795</v>
      </c>
      <c r="I13">
        <f t="shared" si="3"/>
        <v>3.67349225642289</v>
      </c>
      <c r="J13">
        <f t="shared" si="3"/>
        <v>4.0033287615236102</v>
      </c>
      <c r="K13">
        <f t="shared" si="3"/>
        <v>4.3128073828481792</v>
      </c>
      <c r="L13">
        <f t="shared" si="3"/>
        <v>4.5925247690913897</v>
      </c>
      <c r="M13">
        <f t="shared" si="3"/>
        <v>4.8339818490160678</v>
      </c>
      <c r="N13">
        <f t="shared" si="3"/>
        <v>5.0298420714318812</v>
      </c>
      <c r="O13">
        <f t="shared" si="3"/>
        <v>5.1741543225907787</v>
      </c>
      <c r="P13">
        <f t="shared" si="3"/>
        <v>5.2625337477668204</v>
      </c>
      <c r="Q13">
        <f t="shared" si="3"/>
        <v>5.2922949828481798</v>
      </c>
    </row>
    <row r="14" spans="1:17" x14ac:dyDescent="0.25">
      <c r="F14">
        <v>245</v>
      </c>
      <c r="G14">
        <f t="shared" si="2"/>
        <v>252.41183415241542</v>
      </c>
      <c r="H14">
        <f t="shared" si="3"/>
        <v>2.7299719460589262</v>
      </c>
      <c r="I14">
        <f t="shared" si="3"/>
        <v>3.0701444196336367</v>
      </c>
      <c r="J14">
        <f t="shared" si="3"/>
        <v>3.3999809247343569</v>
      </c>
      <c r="K14">
        <f t="shared" si="3"/>
        <v>3.7094595460589259</v>
      </c>
      <c r="L14">
        <f t="shared" si="3"/>
        <v>3.9891769323021364</v>
      </c>
      <c r="M14">
        <f t="shared" si="3"/>
        <v>4.2306340122268145</v>
      </c>
      <c r="N14">
        <f t="shared" si="3"/>
        <v>4.4264942346426279</v>
      </c>
      <c r="O14">
        <f t="shared" si="3"/>
        <v>4.5708064858015254</v>
      </c>
      <c r="P14">
        <f t="shared" si="3"/>
        <v>4.6591859109775671</v>
      </c>
      <c r="Q14">
        <f t="shared" si="3"/>
        <v>4.6889471460589265</v>
      </c>
    </row>
    <row r="15" spans="1:17" x14ac:dyDescent="0.25">
      <c r="F15">
        <v>250</v>
      </c>
      <c r="G15">
        <f t="shared" si="2"/>
        <v>256.82359885829777</v>
      </c>
      <c r="H15">
        <f t="shared" ref="H15:Q24" si="4">sigma*(T_earth^4-$F15^4)/(R_surf_2U+R_earth_2U)-sigma*$F15^4/(R_surf_2U+R_space_2U)+(T_B-$F15)/R_SO+($G15-$F15)/R_bus+A_2U*albedo*absorp*F_earth*solar+ABS(absorp*solar*0.65*A_2U*COS(H$4*PI()/180))</f>
        <v>2.1123001480530816</v>
      </c>
      <c r="I15">
        <f t="shared" si="4"/>
        <v>2.4524726216277921</v>
      </c>
      <c r="J15">
        <f t="shared" si="4"/>
        <v>2.7823091267285123</v>
      </c>
      <c r="K15">
        <f t="shared" si="4"/>
        <v>3.0917877480530813</v>
      </c>
      <c r="L15">
        <f t="shared" si="4"/>
        <v>3.3715051342962923</v>
      </c>
      <c r="M15">
        <f t="shared" si="4"/>
        <v>3.6129622142209703</v>
      </c>
      <c r="N15">
        <f t="shared" si="4"/>
        <v>3.8088224366367833</v>
      </c>
      <c r="O15">
        <f t="shared" si="4"/>
        <v>3.9531346877956803</v>
      </c>
      <c r="P15">
        <f t="shared" si="4"/>
        <v>4.041514112971722</v>
      </c>
      <c r="Q15">
        <f t="shared" si="4"/>
        <v>4.0712753480530814</v>
      </c>
    </row>
    <row r="16" spans="1:17" x14ac:dyDescent="0.25">
      <c r="F16">
        <v>255</v>
      </c>
      <c r="G16">
        <f t="shared" si="2"/>
        <v>261.23536356418015</v>
      </c>
      <c r="H16">
        <f t="shared" si="4"/>
        <v>1.4797138125161804</v>
      </c>
      <c r="I16">
        <f t="shared" si="4"/>
        <v>1.8198862860908904</v>
      </c>
      <c r="J16">
        <f t="shared" si="4"/>
        <v>2.1497227911916106</v>
      </c>
      <c r="K16">
        <f t="shared" si="4"/>
        <v>2.4592014125161796</v>
      </c>
      <c r="L16">
        <f t="shared" si="4"/>
        <v>2.7389187987593906</v>
      </c>
      <c r="M16">
        <f t="shared" si="4"/>
        <v>2.9803758786840686</v>
      </c>
      <c r="N16">
        <f t="shared" si="4"/>
        <v>3.1762361010998816</v>
      </c>
      <c r="O16">
        <f t="shared" si="4"/>
        <v>3.3205483522587791</v>
      </c>
      <c r="P16">
        <f t="shared" si="4"/>
        <v>3.4089277774348208</v>
      </c>
      <c r="Q16">
        <f t="shared" si="4"/>
        <v>3.4386890125161802</v>
      </c>
    </row>
    <row r="17" spans="6:17" x14ac:dyDescent="0.25">
      <c r="F17">
        <v>260</v>
      </c>
      <c r="G17">
        <f t="shared" si="2"/>
        <v>265.64712827006247</v>
      </c>
      <c r="H17">
        <f t="shared" si="4"/>
        <v>0.83161043229908282</v>
      </c>
      <c r="I17">
        <f t="shared" si="4"/>
        <v>1.171782905873793</v>
      </c>
      <c r="J17">
        <f t="shared" si="4"/>
        <v>1.5016194109745133</v>
      </c>
      <c r="K17">
        <f t="shared" si="4"/>
        <v>1.8110980322990824</v>
      </c>
      <c r="L17">
        <f t="shared" si="4"/>
        <v>2.0908154185422934</v>
      </c>
      <c r="M17">
        <f t="shared" si="4"/>
        <v>2.3322724984669714</v>
      </c>
      <c r="N17">
        <f t="shared" si="4"/>
        <v>2.5281327208827844</v>
      </c>
      <c r="O17">
        <f t="shared" si="4"/>
        <v>2.6724449720416814</v>
      </c>
      <c r="P17">
        <f t="shared" si="4"/>
        <v>2.7608243972177235</v>
      </c>
      <c r="Q17">
        <f t="shared" si="4"/>
        <v>2.7905856322990825</v>
      </c>
    </row>
    <row r="18" spans="6:17" x14ac:dyDescent="0.25">
      <c r="F18">
        <v>265</v>
      </c>
      <c r="G18">
        <f t="shared" si="2"/>
        <v>270.05889297594484</v>
      </c>
      <c r="H18">
        <f t="shared" si="4"/>
        <v>0.1673755694180758</v>
      </c>
      <c r="I18">
        <f t="shared" si="4"/>
        <v>0.507548042992786</v>
      </c>
      <c r="J18">
        <f t="shared" si="4"/>
        <v>0.83738454809350626</v>
      </c>
      <c r="K18">
        <f t="shared" si="4"/>
        <v>1.1468631694180753</v>
      </c>
      <c r="L18">
        <f t="shared" si="4"/>
        <v>1.4265805556612861</v>
      </c>
      <c r="M18">
        <f t="shared" si="4"/>
        <v>1.6680376355859641</v>
      </c>
      <c r="N18">
        <f t="shared" si="4"/>
        <v>1.8638978580017773</v>
      </c>
      <c r="O18">
        <f t="shared" si="4"/>
        <v>2.0082101091606748</v>
      </c>
      <c r="P18">
        <f t="shared" si="4"/>
        <v>2.0965895343367165</v>
      </c>
      <c r="Q18">
        <f t="shared" si="4"/>
        <v>2.1263507694180759</v>
      </c>
    </row>
    <row r="19" spans="6:17" x14ac:dyDescent="0.25">
      <c r="F19">
        <v>270</v>
      </c>
      <c r="G19">
        <f t="shared" si="2"/>
        <v>274.47065768182722</v>
      </c>
      <c r="H19">
        <f t="shared" si="4"/>
        <v>-0.51361714494524036</v>
      </c>
      <c r="I19">
        <f t="shared" si="4"/>
        <v>-0.17344467137053016</v>
      </c>
      <c r="J19">
        <f t="shared" si="4"/>
        <v>0.15639183373019006</v>
      </c>
      <c r="K19">
        <f t="shared" si="4"/>
        <v>0.4658704550547591</v>
      </c>
      <c r="L19">
        <f t="shared" si="4"/>
        <v>0.74558784129796996</v>
      </c>
      <c r="M19">
        <f t="shared" si="4"/>
        <v>0.98704492122264798</v>
      </c>
      <c r="N19">
        <f t="shared" si="4"/>
        <v>1.1829051436384612</v>
      </c>
      <c r="O19">
        <f t="shared" si="4"/>
        <v>1.3272173947973585</v>
      </c>
      <c r="P19">
        <f t="shared" si="4"/>
        <v>1.4155968199734004</v>
      </c>
      <c r="Q19">
        <f t="shared" si="4"/>
        <v>1.4453580550547596</v>
      </c>
    </row>
    <row r="20" spans="6:17" x14ac:dyDescent="0.25">
      <c r="F20">
        <v>275</v>
      </c>
      <c r="G20">
        <f t="shared" si="2"/>
        <v>278.88242238770954</v>
      </c>
      <c r="H20">
        <f t="shared" si="4"/>
        <v>-1.2120060104439028</v>
      </c>
      <c r="I20">
        <f t="shared" si="4"/>
        <v>-0.87183353686919274</v>
      </c>
      <c r="J20">
        <f t="shared" si="4"/>
        <v>-0.54199703176847247</v>
      </c>
      <c r="K20">
        <f t="shared" si="4"/>
        <v>-0.23251841044390342</v>
      </c>
      <c r="L20">
        <f t="shared" si="4"/>
        <v>4.719897579930743E-2</v>
      </c>
      <c r="M20">
        <f t="shared" si="4"/>
        <v>0.28865605572398545</v>
      </c>
      <c r="N20">
        <f t="shared" si="4"/>
        <v>0.4845162781397987</v>
      </c>
      <c r="O20">
        <f t="shared" si="4"/>
        <v>0.62882852929869593</v>
      </c>
      <c r="P20">
        <f t="shared" si="4"/>
        <v>0.71720795447473784</v>
      </c>
      <c r="Q20">
        <f t="shared" si="4"/>
        <v>0.74696918955609704</v>
      </c>
    </row>
    <row r="21" spans="6:17" x14ac:dyDescent="0.25">
      <c r="F21">
        <v>280</v>
      </c>
      <c r="G21">
        <f t="shared" si="2"/>
        <v>283.29418709359192</v>
      </c>
      <c r="H21">
        <f t="shared" si="4"/>
        <v>-1.928441257565533</v>
      </c>
      <c r="I21">
        <f t="shared" si="4"/>
        <v>-1.5882687839908229</v>
      </c>
      <c r="J21">
        <f t="shared" si="4"/>
        <v>-1.2584322788901026</v>
      </c>
      <c r="K21">
        <f t="shared" si="4"/>
        <v>-0.94895365756553363</v>
      </c>
      <c r="L21">
        <f t="shared" si="4"/>
        <v>-0.66923627132232277</v>
      </c>
      <c r="M21">
        <f t="shared" si="4"/>
        <v>-0.42777919139764475</v>
      </c>
      <c r="N21">
        <f t="shared" si="4"/>
        <v>-0.23191896898183151</v>
      </c>
      <c r="O21">
        <f t="shared" si="4"/>
        <v>-8.7606717822934277E-2</v>
      </c>
      <c r="P21">
        <f t="shared" si="4"/>
        <v>7.7270735310763783E-4</v>
      </c>
      <c r="Q21">
        <f t="shared" si="4"/>
        <v>3.0533942434466832E-2</v>
      </c>
    </row>
    <row r="22" spans="6:17" x14ac:dyDescent="0.25">
      <c r="F22">
        <v>285</v>
      </c>
      <c r="G22">
        <f t="shared" si="2"/>
        <v>287.70595179947424</v>
      </c>
      <c r="H22">
        <f t="shared" si="4"/>
        <v>-2.6635850476324547</v>
      </c>
      <c r="I22">
        <f t="shared" si="4"/>
        <v>-2.3234125740577443</v>
      </c>
      <c r="J22">
        <f t="shared" si="4"/>
        <v>-1.9935760689570241</v>
      </c>
      <c r="K22">
        <f t="shared" si="4"/>
        <v>-1.6840974476324551</v>
      </c>
      <c r="L22">
        <f t="shared" si="4"/>
        <v>-1.4043800613892443</v>
      </c>
      <c r="M22">
        <f t="shared" si="4"/>
        <v>-1.1629229814645663</v>
      </c>
      <c r="N22">
        <f t="shared" si="4"/>
        <v>-0.96706275904875305</v>
      </c>
      <c r="O22">
        <f t="shared" si="4"/>
        <v>-0.82275050788985582</v>
      </c>
      <c r="P22">
        <f t="shared" si="4"/>
        <v>-0.73437108271381391</v>
      </c>
      <c r="Q22">
        <f t="shared" si="4"/>
        <v>-0.70460984763245471</v>
      </c>
    </row>
    <row r="23" spans="6:17" x14ac:dyDescent="0.25">
      <c r="F23">
        <v>290</v>
      </c>
      <c r="G23">
        <f t="shared" si="2"/>
        <v>292.11771650535661</v>
      </c>
      <c r="H23">
        <f t="shared" si="4"/>
        <v>-3.4181114728015638</v>
      </c>
      <c r="I23">
        <f t="shared" si="4"/>
        <v>-3.0779389992268533</v>
      </c>
      <c r="J23">
        <f t="shared" si="4"/>
        <v>-2.7481024941261332</v>
      </c>
      <c r="K23">
        <f t="shared" si="4"/>
        <v>-2.4386238728015641</v>
      </c>
      <c r="L23">
        <f t="shared" si="4"/>
        <v>-2.1589064865583536</v>
      </c>
      <c r="M23">
        <f t="shared" si="4"/>
        <v>-1.9174494066336754</v>
      </c>
      <c r="N23">
        <f t="shared" si="4"/>
        <v>-1.7215891842178621</v>
      </c>
      <c r="O23">
        <f t="shared" si="4"/>
        <v>-1.5772769330589649</v>
      </c>
      <c r="P23">
        <f t="shared" si="4"/>
        <v>-1.488897507882923</v>
      </c>
      <c r="Q23">
        <f t="shared" si="4"/>
        <v>-1.4591362728015638</v>
      </c>
    </row>
    <row r="24" spans="6:17" x14ac:dyDescent="0.25">
      <c r="F24">
        <v>295</v>
      </c>
      <c r="G24">
        <f t="shared" si="2"/>
        <v>296.52948121123899</v>
      </c>
      <c r="H24">
        <f t="shared" si="4"/>
        <v>-4.1927065560644374</v>
      </c>
      <c r="I24">
        <f t="shared" si="4"/>
        <v>-3.852534082489727</v>
      </c>
      <c r="J24">
        <f t="shared" si="4"/>
        <v>-3.5226975773890068</v>
      </c>
      <c r="K24">
        <f t="shared" si="4"/>
        <v>-3.2132189560644377</v>
      </c>
      <c r="L24">
        <f t="shared" si="4"/>
        <v>-2.9335015698212272</v>
      </c>
      <c r="M24">
        <f t="shared" si="4"/>
        <v>-2.6920444898965492</v>
      </c>
      <c r="N24">
        <f t="shared" si="4"/>
        <v>-2.4961842674807357</v>
      </c>
      <c r="O24">
        <f t="shared" si="4"/>
        <v>-2.3518720163218383</v>
      </c>
      <c r="P24">
        <f t="shared" si="4"/>
        <v>-2.2634925911457966</v>
      </c>
      <c r="Q24">
        <f t="shared" si="4"/>
        <v>-2.2337313560644372</v>
      </c>
    </row>
    <row r="25" spans="6:17" x14ac:dyDescent="0.25">
      <c r="F25">
        <v>300</v>
      </c>
      <c r="G25">
        <f t="shared" si="2"/>
        <v>300.94124591712131</v>
      </c>
      <c r="H25">
        <f t="shared" ref="H25:Q37" si="5">sigma*(T_earth^4-$F25^4)/(R_surf_2U+R_earth_2U)-sigma*$F25^4/(R_surf_2U+R_space_2U)+(T_B-$F25)/R_SO+($G25-$F25)/R_bus+A_2U*albedo*absorp*F_earth*solar+ABS(absorp*solar*0.65*A_2U*COS(H$4*PI()/180))</f>
        <v>-4.9880682512472942</v>
      </c>
      <c r="I25">
        <f t="shared" si="5"/>
        <v>-4.6478957776725842</v>
      </c>
      <c r="J25">
        <f t="shared" si="5"/>
        <v>-4.3180592725718636</v>
      </c>
      <c r="K25">
        <f t="shared" si="5"/>
        <v>-4.0085806512472946</v>
      </c>
      <c r="L25">
        <f t="shared" si="5"/>
        <v>-3.728863265004084</v>
      </c>
      <c r="M25">
        <f t="shared" si="5"/>
        <v>-3.487406185079406</v>
      </c>
      <c r="N25">
        <f t="shared" si="5"/>
        <v>-3.2915459626635926</v>
      </c>
      <c r="O25">
        <f t="shared" si="5"/>
        <v>-3.1472337115046951</v>
      </c>
      <c r="P25">
        <f t="shared" si="5"/>
        <v>-3.0588542863286534</v>
      </c>
      <c r="Q25">
        <f t="shared" si="5"/>
        <v>-3.029093051247294</v>
      </c>
    </row>
    <row r="26" spans="6:17" x14ac:dyDescent="0.25">
      <c r="F26">
        <v>305</v>
      </c>
      <c r="G26">
        <f t="shared" si="2"/>
        <v>305.35301062300368</v>
      </c>
      <c r="H26">
        <f t="shared" si="5"/>
        <v>-5.8049064430109327</v>
      </c>
      <c r="I26">
        <f t="shared" si="5"/>
        <v>-5.4647339694362227</v>
      </c>
      <c r="J26">
        <f t="shared" si="5"/>
        <v>-5.1348974643355021</v>
      </c>
      <c r="K26">
        <f t="shared" si="5"/>
        <v>-4.825418843010933</v>
      </c>
      <c r="L26">
        <f t="shared" si="5"/>
        <v>-4.5457014567677225</v>
      </c>
      <c r="M26">
        <f t="shared" si="5"/>
        <v>-4.3042443768430445</v>
      </c>
      <c r="N26">
        <f t="shared" si="5"/>
        <v>-4.108384154427231</v>
      </c>
      <c r="O26">
        <f t="shared" si="5"/>
        <v>-3.9640719032683336</v>
      </c>
      <c r="P26">
        <f t="shared" si="5"/>
        <v>-3.8756924780922919</v>
      </c>
      <c r="Q26">
        <f t="shared" si="5"/>
        <v>-3.8459312430109325</v>
      </c>
    </row>
    <row r="27" spans="6:17" x14ac:dyDescent="0.25">
      <c r="F27">
        <v>310</v>
      </c>
      <c r="G27">
        <f t="shared" si="2"/>
        <v>309.76477532888606</v>
      </c>
      <c r="H27">
        <f t="shared" si="5"/>
        <v>-6.6439429468508395</v>
      </c>
      <c r="I27">
        <f t="shared" si="5"/>
        <v>-6.3037704732761295</v>
      </c>
      <c r="J27">
        <f t="shared" si="5"/>
        <v>-5.9739339681754089</v>
      </c>
      <c r="K27">
        <f t="shared" si="5"/>
        <v>-5.6644553468508398</v>
      </c>
      <c r="L27">
        <f t="shared" si="5"/>
        <v>-5.3847379606076293</v>
      </c>
      <c r="M27">
        <f t="shared" si="5"/>
        <v>-5.1432808806829513</v>
      </c>
      <c r="N27">
        <f t="shared" si="5"/>
        <v>-4.9474206582671378</v>
      </c>
      <c r="O27">
        <f t="shared" si="5"/>
        <v>-4.8031084071082404</v>
      </c>
      <c r="P27">
        <f t="shared" si="5"/>
        <v>-4.7147289819321987</v>
      </c>
      <c r="Q27">
        <f t="shared" si="5"/>
        <v>-4.6849677468508393</v>
      </c>
    </row>
    <row r="28" spans="6:17" x14ac:dyDescent="0.25">
      <c r="F28">
        <v>315</v>
      </c>
      <c r="G28">
        <f t="shared" si="2"/>
        <v>314.17654003476838</v>
      </c>
      <c r="H28">
        <f t="shared" si="5"/>
        <v>-7.5059115090971407</v>
      </c>
      <c r="I28">
        <f t="shared" si="5"/>
        <v>-7.1657390355224306</v>
      </c>
      <c r="J28">
        <f t="shared" si="5"/>
        <v>-6.83590253042171</v>
      </c>
      <c r="K28">
        <f t="shared" si="5"/>
        <v>-6.526423909097141</v>
      </c>
      <c r="L28">
        <f t="shared" si="5"/>
        <v>-6.2467065228539305</v>
      </c>
      <c r="M28">
        <f t="shared" si="5"/>
        <v>-6.0052494429292524</v>
      </c>
      <c r="N28">
        <f t="shared" si="5"/>
        <v>-5.809389220513439</v>
      </c>
      <c r="O28">
        <f t="shared" si="5"/>
        <v>-5.6650769693545415</v>
      </c>
      <c r="P28">
        <f t="shared" si="5"/>
        <v>-5.5766975441784998</v>
      </c>
      <c r="Q28">
        <f t="shared" si="5"/>
        <v>-5.5469363090971404</v>
      </c>
    </row>
    <row r="29" spans="6:17" x14ac:dyDescent="0.25">
      <c r="F29">
        <v>320</v>
      </c>
      <c r="G29">
        <f t="shared" si="2"/>
        <v>318.58830474065076</v>
      </c>
      <c r="H29">
        <f t="shared" si="5"/>
        <v>-8.3915578069145429</v>
      </c>
      <c r="I29">
        <f t="shared" si="5"/>
        <v>-8.051385333339832</v>
      </c>
      <c r="J29">
        <f t="shared" si="5"/>
        <v>-7.7215488282391123</v>
      </c>
      <c r="K29">
        <f t="shared" si="5"/>
        <v>-7.4120702069145432</v>
      </c>
      <c r="L29">
        <f t="shared" si="5"/>
        <v>-7.1323528206713327</v>
      </c>
      <c r="M29">
        <f t="shared" si="5"/>
        <v>-6.8908957407466547</v>
      </c>
      <c r="N29">
        <f t="shared" si="5"/>
        <v>-6.6950355183308412</v>
      </c>
      <c r="O29">
        <f t="shared" si="5"/>
        <v>-6.5507232671719438</v>
      </c>
      <c r="P29">
        <f t="shared" si="5"/>
        <v>-6.4623438419959021</v>
      </c>
      <c r="Q29">
        <f t="shared" si="5"/>
        <v>-6.4325826069145426</v>
      </c>
    </row>
    <row r="30" spans="6:17" x14ac:dyDescent="0.25">
      <c r="F30">
        <v>325</v>
      </c>
      <c r="G30">
        <f t="shared" si="2"/>
        <v>323.00006944653308</v>
      </c>
      <c r="H30">
        <f t="shared" si="5"/>
        <v>-9.3016394483024598</v>
      </c>
      <c r="I30">
        <f t="shared" si="5"/>
        <v>-8.9614669747277489</v>
      </c>
      <c r="J30">
        <f t="shared" si="5"/>
        <v>-8.6316304696270301</v>
      </c>
      <c r="K30">
        <f t="shared" si="5"/>
        <v>-8.322151848302461</v>
      </c>
      <c r="L30">
        <f t="shared" si="5"/>
        <v>-8.0424344620592496</v>
      </c>
      <c r="M30">
        <f t="shared" si="5"/>
        <v>-7.8009773821345716</v>
      </c>
      <c r="N30">
        <f t="shared" si="5"/>
        <v>-7.6051171597187581</v>
      </c>
      <c r="O30">
        <f t="shared" si="5"/>
        <v>-7.4608049085598607</v>
      </c>
      <c r="P30">
        <f t="shared" si="5"/>
        <v>-7.372425483383819</v>
      </c>
      <c r="Q30">
        <f t="shared" si="5"/>
        <v>-7.3426642483024596</v>
      </c>
    </row>
    <row r="31" spans="6:17" x14ac:dyDescent="0.25">
      <c r="F31">
        <v>330</v>
      </c>
      <c r="G31">
        <f t="shared" si="2"/>
        <v>327.41183415241545</v>
      </c>
      <c r="H31">
        <f t="shared" si="5"/>
        <v>-10.23692597209487</v>
      </c>
      <c r="I31">
        <f t="shared" si="5"/>
        <v>-9.8967534985201588</v>
      </c>
      <c r="J31">
        <f t="shared" si="5"/>
        <v>-9.56691699341944</v>
      </c>
      <c r="K31">
        <f t="shared" si="5"/>
        <v>-9.257438372094871</v>
      </c>
      <c r="L31">
        <f t="shared" si="5"/>
        <v>-8.9777209858516596</v>
      </c>
      <c r="M31">
        <f t="shared" si="5"/>
        <v>-8.7362639059269807</v>
      </c>
      <c r="N31">
        <f t="shared" si="5"/>
        <v>-8.540403683511169</v>
      </c>
      <c r="O31">
        <f t="shared" si="5"/>
        <v>-8.3960914323522715</v>
      </c>
      <c r="P31">
        <f t="shared" si="5"/>
        <v>-8.307712007176228</v>
      </c>
      <c r="Q31">
        <f t="shared" si="5"/>
        <v>-8.2779507720948704</v>
      </c>
    </row>
    <row r="32" spans="6:17" x14ac:dyDescent="0.25">
      <c r="F32">
        <v>335</v>
      </c>
      <c r="G32">
        <f t="shared" si="2"/>
        <v>331.82359885829783</v>
      </c>
      <c r="H32">
        <f t="shared" si="5"/>
        <v>-11.198198847960443</v>
      </c>
      <c r="I32">
        <f t="shared" si="5"/>
        <v>-10.858026374385732</v>
      </c>
      <c r="J32">
        <f t="shared" si="5"/>
        <v>-10.528189869285013</v>
      </c>
      <c r="K32">
        <f t="shared" si="5"/>
        <v>-10.218711247960444</v>
      </c>
      <c r="L32">
        <f t="shared" si="5"/>
        <v>-9.9389938617172326</v>
      </c>
      <c r="M32">
        <f t="shared" si="5"/>
        <v>-9.6975367817925537</v>
      </c>
      <c r="N32">
        <f t="shared" si="5"/>
        <v>-9.5016765593767403</v>
      </c>
      <c r="O32">
        <f t="shared" si="5"/>
        <v>-9.3573643082178446</v>
      </c>
      <c r="P32">
        <f t="shared" si="5"/>
        <v>-9.2689848830418029</v>
      </c>
      <c r="Q32">
        <f t="shared" si="5"/>
        <v>-9.2392236479604435</v>
      </c>
    </row>
    <row r="33" spans="6:17" x14ac:dyDescent="0.25">
      <c r="F33">
        <v>340</v>
      </c>
      <c r="G33">
        <f t="shared" si="2"/>
        <v>336.23536356418015</v>
      </c>
      <c r="H33">
        <f t="shared" si="5"/>
        <v>-12.186251476402477</v>
      </c>
      <c r="I33">
        <f t="shared" si="5"/>
        <v>-11.846079002827766</v>
      </c>
      <c r="J33">
        <f t="shared" si="5"/>
        <v>-11.516242497727047</v>
      </c>
      <c r="K33">
        <f t="shared" si="5"/>
        <v>-11.206763876402478</v>
      </c>
      <c r="L33">
        <f t="shared" si="5"/>
        <v>-10.927046490159267</v>
      </c>
      <c r="M33">
        <f t="shared" si="5"/>
        <v>-10.685589410234588</v>
      </c>
      <c r="N33">
        <f t="shared" si="5"/>
        <v>-10.489729187818774</v>
      </c>
      <c r="O33">
        <f t="shared" si="5"/>
        <v>-10.345416936659879</v>
      </c>
      <c r="P33">
        <f t="shared" si="5"/>
        <v>-10.257037511483837</v>
      </c>
      <c r="Q33">
        <f t="shared" si="5"/>
        <v>-10.227276276402478</v>
      </c>
    </row>
    <row r="34" spans="6:17" x14ac:dyDescent="0.25">
      <c r="F34">
        <v>345</v>
      </c>
      <c r="G34">
        <f t="shared" si="2"/>
        <v>340.64712827006252</v>
      </c>
      <c r="H34">
        <f t="shared" si="5"/>
        <v>-13.201889188758866</v>
      </c>
      <c r="I34">
        <f t="shared" si="5"/>
        <v>-12.861716715184155</v>
      </c>
      <c r="J34">
        <f t="shared" si="5"/>
        <v>-12.531880210083436</v>
      </c>
      <c r="K34">
        <f t="shared" si="5"/>
        <v>-12.222401588758867</v>
      </c>
      <c r="L34">
        <f t="shared" si="5"/>
        <v>-11.942684202515656</v>
      </c>
      <c r="M34">
        <f t="shared" si="5"/>
        <v>-11.701227122590977</v>
      </c>
      <c r="N34">
        <f t="shared" si="5"/>
        <v>-11.505366900175165</v>
      </c>
      <c r="O34">
        <f t="shared" si="5"/>
        <v>-11.361054649016268</v>
      </c>
      <c r="P34">
        <f t="shared" si="5"/>
        <v>-11.272675223840224</v>
      </c>
      <c r="Q34">
        <f t="shared" si="5"/>
        <v>-11.242913988758866</v>
      </c>
    </row>
    <row r="35" spans="6:17" x14ac:dyDescent="0.25">
      <c r="F35">
        <v>350</v>
      </c>
      <c r="G35">
        <f t="shared" si="2"/>
        <v>345.05889297594484</v>
      </c>
      <c r="H35">
        <f t="shared" si="5"/>
        <v>-14.245929247202195</v>
      </c>
      <c r="I35">
        <f t="shared" si="5"/>
        <v>-13.905756773627484</v>
      </c>
      <c r="J35">
        <f t="shared" si="5"/>
        <v>-13.575920268526765</v>
      </c>
      <c r="K35">
        <f t="shared" si="5"/>
        <v>-13.266441647202196</v>
      </c>
      <c r="L35">
        <f t="shared" si="5"/>
        <v>-12.986724260958985</v>
      </c>
      <c r="M35">
        <f t="shared" si="5"/>
        <v>-12.745267181034306</v>
      </c>
      <c r="N35">
        <f t="shared" si="5"/>
        <v>-12.549406958618494</v>
      </c>
      <c r="O35">
        <f t="shared" si="5"/>
        <v>-12.405094707459597</v>
      </c>
      <c r="P35">
        <f t="shared" si="5"/>
        <v>-12.316715282283553</v>
      </c>
      <c r="Q35">
        <f t="shared" si="5"/>
        <v>-12.286954047202196</v>
      </c>
    </row>
    <row r="36" spans="6:17" x14ac:dyDescent="0.25">
      <c r="F36">
        <v>355</v>
      </c>
      <c r="G36">
        <f t="shared" si="2"/>
        <v>349.47065768182722</v>
      </c>
      <c r="H36">
        <f t="shared" si="5"/>
        <v>-15.319200844739632</v>
      </c>
      <c r="I36">
        <f t="shared" si="5"/>
        <v>-14.979028371164921</v>
      </c>
      <c r="J36">
        <f t="shared" si="5"/>
        <v>-14.649191866064202</v>
      </c>
      <c r="K36">
        <f t="shared" si="5"/>
        <v>-14.339713244739633</v>
      </c>
      <c r="L36">
        <f t="shared" si="5"/>
        <v>-14.059995858496421</v>
      </c>
      <c r="M36">
        <f t="shared" si="5"/>
        <v>-13.818538778571742</v>
      </c>
      <c r="N36">
        <f t="shared" si="5"/>
        <v>-13.622678556155929</v>
      </c>
      <c r="O36">
        <f t="shared" si="5"/>
        <v>-13.478366304997033</v>
      </c>
      <c r="P36">
        <f t="shared" si="5"/>
        <v>-13.389986879820992</v>
      </c>
      <c r="Q36">
        <f t="shared" si="5"/>
        <v>-13.360225644739632</v>
      </c>
    </row>
    <row r="37" spans="6:17" x14ac:dyDescent="0.25">
      <c r="F37">
        <v>360</v>
      </c>
      <c r="G37">
        <f t="shared" si="2"/>
        <v>353.8824223877096</v>
      </c>
      <c r="H37">
        <f t="shared" si="5"/>
        <v>-16.422545105213011</v>
      </c>
      <c r="I37">
        <f t="shared" si="5"/>
        <v>-16.0823726316383</v>
      </c>
      <c r="J37">
        <f t="shared" si="5"/>
        <v>-15.752536126537581</v>
      </c>
      <c r="K37">
        <f t="shared" si="5"/>
        <v>-15.443057505213012</v>
      </c>
      <c r="L37">
        <f t="shared" si="5"/>
        <v>-15.163340118969801</v>
      </c>
      <c r="M37">
        <f t="shared" si="5"/>
        <v>-14.921883039045122</v>
      </c>
      <c r="N37">
        <f t="shared" si="5"/>
        <v>-14.72602281662931</v>
      </c>
      <c r="O37">
        <f t="shared" si="5"/>
        <v>-14.581710565470413</v>
      </c>
      <c r="P37">
        <f t="shared" si="5"/>
        <v>-14.493331140294369</v>
      </c>
      <c r="Q37">
        <f t="shared" si="5"/>
        <v>-14.463569905213012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Sheet1</vt:lpstr>
      <vt:lpstr>Radiator Size Study</vt:lpstr>
      <vt:lpstr>Hume TEC Data</vt:lpstr>
      <vt:lpstr>TEC Orb Ave Sim</vt:lpstr>
      <vt:lpstr>Incident Angle Study</vt:lpstr>
      <vt:lpstr>A_1U</vt:lpstr>
      <vt:lpstr>A_2U</vt:lpstr>
      <vt:lpstr>A_3U</vt:lpstr>
      <vt:lpstr>absorp</vt:lpstr>
      <vt:lpstr>albedo</vt:lpstr>
      <vt:lpstr>emiss_out</vt:lpstr>
      <vt:lpstr>F_earth</vt:lpstr>
      <vt:lpstr>F_space</vt:lpstr>
      <vt:lpstr>q_D</vt:lpstr>
      <vt:lpstr>R_bus</vt:lpstr>
      <vt:lpstr>R_earth_1U</vt:lpstr>
      <vt:lpstr>R_earth_2U</vt:lpstr>
      <vt:lpstr>R_earth_3U</vt:lpstr>
      <vt:lpstr>R_SO</vt:lpstr>
      <vt:lpstr>R_space_1U</vt:lpstr>
      <vt:lpstr>R_space_2U</vt:lpstr>
      <vt:lpstr>R_space_3U</vt:lpstr>
      <vt:lpstr>R_surf_1U</vt:lpstr>
      <vt:lpstr>R_surf_2U</vt:lpstr>
      <vt:lpstr>R_surf_3U</vt:lpstr>
      <vt:lpstr>sigma</vt:lpstr>
      <vt:lpstr>solar</vt:lpstr>
      <vt:lpstr>T_B</vt:lpstr>
      <vt:lpstr>T_earth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Birmingham</dc:creator>
  <cp:lastModifiedBy>William Birmingham</cp:lastModifiedBy>
  <dcterms:created xsi:type="dcterms:W3CDTF">2022-06-13T14:57:25Z</dcterms:created>
  <dcterms:modified xsi:type="dcterms:W3CDTF">2022-06-21T15:10:21Z</dcterms:modified>
</cp:coreProperties>
</file>